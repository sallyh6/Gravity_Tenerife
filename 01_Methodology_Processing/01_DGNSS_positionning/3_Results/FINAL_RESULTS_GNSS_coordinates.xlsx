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llyHenry\Desktop\Sally Internship\1.GNSS gravi\"/>
    </mc:Choice>
  </mc:AlternateContent>
  <xr:revisionPtr revIDLastSave="0" documentId="13_ncr:1_{F86E3532-552F-4473-9FFF-82C5521B2527}" xr6:coauthVersionLast="47" xr6:coauthVersionMax="47" xr10:uidLastSave="{00000000-0000-0000-0000-000000000000}"/>
  <bookViews>
    <workbookView xWindow="10995" yWindow="975" windowWidth="16350" windowHeight="14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2" i="1" l="1"/>
  <c r="R101" i="1"/>
  <c r="R100" i="1"/>
  <c r="R99" i="1"/>
  <c r="R98" i="1"/>
  <c r="R103" i="1"/>
</calcChain>
</file>

<file path=xl/sharedStrings.xml><?xml version="1.0" encoding="utf-8"?>
<sst xmlns="http://schemas.openxmlformats.org/spreadsheetml/2006/main" count="307" uniqueCount="135">
  <si>
    <t>Station</t>
  </si>
  <si>
    <t>Date</t>
  </si>
  <si>
    <t>Base</t>
  </si>
  <si>
    <t>Recording_Time_min</t>
  </si>
  <si>
    <t>Latitude</t>
  </si>
  <si>
    <t>Longitude</t>
  </si>
  <si>
    <t>Diff_Elevation_m</t>
  </si>
  <si>
    <t>Abs_Diff_Elevation_m</t>
  </si>
  <si>
    <t>Distance_km</t>
  </si>
  <si>
    <t>Lat_Std_Dev_cm</t>
  </si>
  <si>
    <t>Lat_Std_Err_cm</t>
  </si>
  <si>
    <t>Lat_med_diff_cm</t>
  </si>
  <si>
    <t>Lon_Std_Dev_cm</t>
  </si>
  <si>
    <t>Lon_Std_Err_cm</t>
  </si>
  <si>
    <t>Lon_med_diff_cm</t>
  </si>
  <si>
    <t>Height_Std_Dev_cm</t>
  </si>
  <si>
    <t>Height_Std_Err_cm</t>
  </si>
  <si>
    <t>Height_med_diff_cm</t>
  </si>
  <si>
    <t>3RDB</t>
  </si>
  <si>
    <t>2024/04/02</t>
  </si>
  <si>
    <t>IZAN</t>
  </si>
  <si>
    <t>CAMI1</t>
  </si>
  <si>
    <t>2024/07/31</t>
  </si>
  <si>
    <t>CAMI2</t>
  </si>
  <si>
    <t>CAMI3</t>
  </si>
  <si>
    <t>CAMI4</t>
  </si>
  <si>
    <t>CAMI5</t>
  </si>
  <si>
    <t>CAMI6</t>
  </si>
  <si>
    <t>CAMI7</t>
  </si>
  <si>
    <t>CAMI8</t>
  </si>
  <si>
    <t>CAMI9</t>
  </si>
  <si>
    <t>CARA</t>
  </si>
  <si>
    <t>CHIP</t>
  </si>
  <si>
    <t>FA00</t>
  </si>
  <si>
    <t>2024/05/03</t>
  </si>
  <si>
    <t>FA01</t>
  </si>
  <si>
    <t>FA02</t>
  </si>
  <si>
    <t>FA03</t>
  </si>
  <si>
    <t>FA04</t>
  </si>
  <si>
    <t>FA05</t>
  </si>
  <si>
    <t>FA06</t>
  </si>
  <si>
    <t>FA07</t>
  </si>
  <si>
    <t>FA08</t>
  </si>
  <si>
    <t>2024/05/09</t>
  </si>
  <si>
    <t>FA09</t>
  </si>
  <si>
    <t>FA10</t>
  </si>
  <si>
    <t>FA11</t>
  </si>
  <si>
    <t>FA12</t>
  </si>
  <si>
    <t>FA13</t>
  </si>
  <si>
    <t>FA14</t>
  </si>
  <si>
    <t>FA15</t>
  </si>
  <si>
    <t>GUI00</t>
  </si>
  <si>
    <t>2024/05/06</t>
  </si>
  <si>
    <t>TN01</t>
  </si>
  <si>
    <t>GUI07</t>
  </si>
  <si>
    <t>2024/05/08</t>
  </si>
  <si>
    <t>GUI08</t>
  </si>
  <si>
    <t>GUI09</t>
  </si>
  <si>
    <t>GUI10</t>
  </si>
  <si>
    <t>GUI11</t>
  </si>
  <si>
    <t>GUI12</t>
  </si>
  <si>
    <t>GUI13</t>
  </si>
  <si>
    <t>GUI14</t>
  </si>
  <si>
    <t>GUI15</t>
  </si>
  <si>
    <t>GUI17</t>
  </si>
  <si>
    <t>GUI18</t>
  </si>
  <si>
    <t>GUI19</t>
  </si>
  <si>
    <t>GUI20</t>
  </si>
  <si>
    <t>2024/06/03</t>
  </si>
  <si>
    <t>GUI21</t>
  </si>
  <si>
    <t>GUI22</t>
  </si>
  <si>
    <t>GUI23</t>
  </si>
  <si>
    <t>GUI24</t>
  </si>
  <si>
    <t>GUI25</t>
  </si>
  <si>
    <t>GUI26</t>
  </si>
  <si>
    <t>GUI30</t>
  </si>
  <si>
    <t>2024/10/07</t>
  </si>
  <si>
    <t>GUI31</t>
  </si>
  <si>
    <t>GUI32</t>
  </si>
  <si>
    <t>GUI33</t>
  </si>
  <si>
    <t>GUI34</t>
  </si>
  <si>
    <t>2024/04/03</t>
  </si>
  <si>
    <t>LM001</t>
  </si>
  <si>
    <t>LM002</t>
  </si>
  <si>
    <t>LM003</t>
  </si>
  <si>
    <t>LM005</t>
  </si>
  <si>
    <t>LM006</t>
  </si>
  <si>
    <t>LM007_G1</t>
  </si>
  <si>
    <t>2024/07/08</t>
  </si>
  <si>
    <t>LM008_G3</t>
  </si>
  <si>
    <t>LM009_G5</t>
  </si>
  <si>
    <t>LM010_G7</t>
  </si>
  <si>
    <t>LM011_G9</t>
  </si>
  <si>
    <t>LM012_G11</t>
  </si>
  <si>
    <t>LM013_G13</t>
  </si>
  <si>
    <t>2024/07/09</t>
  </si>
  <si>
    <t>LM014_G15</t>
  </si>
  <si>
    <t>LM015_G17</t>
  </si>
  <si>
    <t>LM016_G19</t>
  </si>
  <si>
    <t>LM017_G21</t>
  </si>
  <si>
    <t>MI00</t>
  </si>
  <si>
    <t>2024/05/10</t>
  </si>
  <si>
    <t>TN02</t>
  </si>
  <si>
    <t>MI01</t>
  </si>
  <si>
    <t>MI02</t>
  </si>
  <si>
    <t>MI03</t>
  </si>
  <si>
    <t>MI04</t>
  </si>
  <si>
    <t>MI05</t>
  </si>
  <si>
    <t>MI06</t>
  </si>
  <si>
    <t>MI07</t>
  </si>
  <si>
    <t>ORO00</t>
  </si>
  <si>
    <t>2025/04/04</t>
  </si>
  <si>
    <t>ORO01</t>
  </si>
  <si>
    <t>ORO02</t>
  </si>
  <si>
    <t>ORO03</t>
  </si>
  <si>
    <t>ORO04</t>
  </si>
  <si>
    <t>ORO05</t>
  </si>
  <si>
    <t>ORO06</t>
  </si>
  <si>
    <t>ORO07</t>
  </si>
  <si>
    <t>ORO08</t>
  </si>
  <si>
    <t>GUI01</t>
  </si>
  <si>
    <t>GUI02</t>
  </si>
  <si>
    <t>GUI03</t>
  </si>
  <si>
    <t>GUI04</t>
  </si>
  <si>
    <t>GUI05</t>
  </si>
  <si>
    <t>GUI06</t>
  </si>
  <si>
    <t>Elevation (m)</t>
  </si>
  <si>
    <t>Q</t>
  </si>
  <si>
    <t>IPNA_out</t>
  </si>
  <si>
    <t>MI09</t>
  </si>
  <si>
    <t>Mean_nb_satellite</t>
  </si>
  <si>
    <t xml:space="preserve">min </t>
  </si>
  <si>
    <t xml:space="preserve">max </t>
  </si>
  <si>
    <t xml:space="preserve">mean cm </t>
  </si>
  <si>
    <t>Mediana :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</si>
</sst>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0" fontId="3" fillId="0" borderId="0" xfId="0" applyFont="1" applyAlignment="1">
      <alignment vertical="center" readingOrder="1"/>
    </xf>
    <xf numFmtId="2" fontId="1" fillId="0" borderId="0" xfId="0" applyNumberFormat="1" applyFont="1"/>
    <xf numFmtId="172" fontId="1" fillId="0" borderId="0" xfId="0" applyNumberFormat="1" applyFont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3"/>
  <sheetViews>
    <sheetView tabSelected="1" workbookViewId="0">
      <pane xSplit="1" ySplit="1" topLeftCell="L72" activePane="bottomRight" state="frozen"/>
      <selection pane="topRight" activeCell="B1" sqref="B1"/>
      <selection pane="bottomLeft" activeCell="A2" sqref="A2"/>
      <selection pane="bottomRight" activeCell="T106" sqref="T106"/>
    </sheetView>
  </sheetViews>
  <sheetFormatPr baseColWidth="10" defaultColWidth="9.140625" defaultRowHeight="15" x14ac:dyDescent="0.25"/>
  <cols>
    <col min="1" max="1" width="10.85546875" bestFit="1" customWidth="1"/>
    <col min="2" max="2" width="10.7109375" bestFit="1" customWidth="1"/>
    <col min="3" max="3" width="5.42578125" bestFit="1" customWidth="1"/>
    <col min="4" max="4" width="19.85546875" bestFit="1" customWidth="1"/>
    <col min="5" max="5" width="12.85546875" style="2" customWidth="1"/>
    <col min="6" max="6" width="12" style="1" bestFit="1" customWidth="1"/>
    <col min="7" max="7" width="12.7109375" style="1" bestFit="1" customWidth="1"/>
    <col min="8" max="8" width="12.85546875" style="1" bestFit="1" customWidth="1"/>
    <col min="9" max="10" width="12.28515625" customWidth="1"/>
    <col min="12" max="12" width="15.42578125" bestFit="1" customWidth="1"/>
    <col min="17" max="17" width="17" bestFit="1" customWidth="1"/>
    <col min="18" max="18" width="5.85546875" style="1" customWidth="1"/>
    <col min="19" max="19" width="17.85546875" bestFit="1" customWidth="1"/>
    <col min="20" max="20" width="19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s="2" t="s">
        <v>130</v>
      </c>
      <c r="F1" s="1" t="s">
        <v>4</v>
      </c>
      <c r="G1" s="1" t="s">
        <v>5</v>
      </c>
      <c r="H1" s="1" t="s">
        <v>126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s="1" t="s">
        <v>15</v>
      </c>
      <c r="S1" t="s">
        <v>16</v>
      </c>
      <c r="T1" t="s">
        <v>17</v>
      </c>
      <c r="U1" t="s">
        <v>127</v>
      </c>
    </row>
    <row r="2" spans="1:21" x14ac:dyDescent="0.25">
      <c r="A2" t="s">
        <v>18</v>
      </c>
      <c r="B2" t="s">
        <v>19</v>
      </c>
      <c r="C2" t="s">
        <v>20</v>
      </c>
      <c r="D2">
        <v>25</v>
      </c>
      <c r="E2" s="3">
        <v>6.2</v>
      </c>
      <c r="F2" s="1">
        <v>28.234671941999999</v>
      </c>
      <c r="G2" s="1">
        <v>-16.629830695999999</v>
      </c>
      <c r="H2" s="1">
        <v>2224.2170999999998</v>
      </c>
      <c r="I2">
        <v>-193.18729999999999</v>
      </c>
      <c r="J2">
        <v>193.18729999999999</v>
      </c>
      <c r="K2">
        <v>15.1</v>
      </c>
      <c r="L2">
        <v>0.94</v>
      </c>
      <c r="M2">
        <v>2.41E-2</v>
      </c>
      <c r="N2">
        <v>2.1999999999999999E-2</v>
      </c>
      <c r="O2">
        <v>0.53</v>
      </c>
      <c r="P2">
        <v>1.3599999999999999E-2</v>
      </c>
      <c r="Q2">
        <v>0.19389999999999999</v>
      </c>
      <c r="R2" s="1">
        <v>8.85</v>
      </c>
      <c r="S2">
        <v>0.2283</v>
      </c>
      <c r="T2">
        <v>2.0217999999999998</v>
      </c>
      <c r="U2">
        <v>1</v>
      </c>
    </row>
    <row r="3" spans="1:21" x14ac:dyDescent="0.25">
      <c r="A3" t="s">
        <v>21</v>
      </c>
      <c r="B3" t="s">
        <v>22</v>
      </c>
      <c r="C3" t="s">
        <v>20</v>
      </c>
      <c r="D3">
        <v>16</v>
      </c>
      <c r="E3" s="3">
        <v>7.1</v>
      </c>
      <c r="F3" s="1">
        <v>28.330279515000001</v>
      </c>
      <c r="G3" s="1">
        <v>-16.532011401999998</v>
      </c>
      <c r="H3" s="1">
        <v>1627.8385000000001</v>
      </c>
      <c r="I3">
        <v>-789.56590000000006</v>
      </c>
      <c r="J3">
        <v>789.56590000000006</v>
      </c>
      <c r="K3">
        <v>4.0999999999999996</v>
      </c>
      <c r="L3">
        <v>3.59</v>
      </c>
      <c r="M3">
        <v>0.1158</v>
      </c>
      <c r="N3">
        <v>0.20610000000000001</v>
      </c>
      <c r="O3">
        <v>3.65</v>
      </c>
      <c r="P3">
        <v>0.1178</v>
      </c>
      <c r="Q3">
        <v>1.1315</v>
      </c>
      <c r="R3" s="1">
        <v>17.62</v>
      </c>
      <c r="S3">
        <v>0.56850000000000001</v>
      </c>
      <c r="T3">
        <v>0.3412</v>
      </c>
      <c r="U3">
        <v>2</v>
      </c>
    </row>
    <row r="4" spans="1:21" x14ac:dyDescent="0.25">
      <c r="A4" t="s">
        <v>23</v>
      </c>
      <c r="B4" t="s">
        <v>22</v>
      </c>
      <c r="C4" t="s">
        <v>20</v>
      </c>
      <c r="D4">
        <v>15.38</v>
      </c>
      <c r="E4" s="3">
        <v>6.9</v>
      </c>
      <c r="F4" s="1">
        <v>28.331152306</v>
      </c>
      <c r="G4" s="1">
        <v>-16.523853368000001</v>
      </c>
      <c r="H4" s="1">
        <v>1717.3973000000001</v>
      </c>
      <c r="I4">
        <v>-700.00710000000004</v>
      </c>
      <c r="J4">
        <v>700.00710000000004</v>
      </c>
      <c r="K4">
        <v>3.6</v>
      </c>
      <c r="L4">
        <v>0.56000000000000005</v>
      </c>
      <c r="M4">
        <v>1.8599999999999998E-2</v>
      </c>
      <c r="N4">
        <v>0.18970000000000001</v>
      </c>
      <c r="O4">
        <v>0.88</v>
      </c>
      <c r="P4">
        <v>2.9000000000000001E-2</v>
      </c>
      <c r="Q4">
        <v>0.34050000000000002</v>
      </c>
      <c r="R4" s="1">
        <v>14.58</v>
      </c>
      <c r="S4">
        <v>0.47970000000000002</v>
      </c>
      <c r="T4">
        <v>5.7499000000000002</v>
      </c>
      <c r="U4">
        <v>1</v>
      </c>
    </row>
    <row r="5" spans="1:21" x14ac:dyDescent="0.25">
      <c r="A5" t="s">
        <v>24</v>
      </c>
      <c r="B5" t="s">
        <v>22</v>
      </c>
      <c r="C5" t="s">
        <v>20</v>
      </c>
      <c r="D5">
        <v>15.55</v>
      </c>
      <c r="E5" s="3">
        <v>5.8</v>
      </c>
      <c r="F5" s="1">
        <v>28.336880793999999</v>
      </c>
      <c r="G5" s="1">
        <v>-16.505797508000001</v>
      </c>
      <c r="H5" s="1">
        <v>1818.4715000000001</v>
      </c>
      <c r="I5">
        <v>-598.93290000000002</v>
      </c>
      <c r="J5">
        <v>598.93290000000002</v>
      </c>
      <c r="K5">
        <v>3.3</v>
      </c>
      <c r="L5">
        <v>1.08</v>
      </c>
      <c r="M5">
        <v>3.5499999999999997E-2</v>
      </c>
      <c r="N5">
        <v>7.4200000000000002E-2</v>
      </c>
      <c r="O5">
        <v>1.3</v>
      </c>
      <c r="P5">
        <v>4.2700000000000002E-2</v>
      </c>
      <c r="Q5">
        <v>0.2898</v>
      </c>
      <c r="R5" s="1">
        <v>5.48</v>
      </c>
      <c r="S5">
        <v>0.1794</v>
      </c>
      <c r="T5">
        <v>0.54569999999999996</v>
      </c>
      <c r="U5">
        <v>2</v>
      </c>
    </row>
    <row r="6" spans="1:21" x14ac:dyDescent="0.25">
      <c r="A6" t="s">
        <v>25</v>
      </c>
      <c r="B6" t="s">
        <v>22</v>
      </c>
      <c r="C6" t="s">
        <v>20</v>
      </c>
      <c r="D6">
        <v>15.05</v>
      </c>
      <c r="E6" s="3">
        <v>7.2</v>
      </c>
      <c r="F6" s="1">
        <v>28.327866631999999</v>
      </c>
      <c r="G6" s="1">
        <v>-16.510517703000001</v>
      </c>
      <c r="H6" s="1">
        <v>1957.0007000000001</v>
      </c>
      <c r="I6">
        <v>-460.40370000000001</v>
      </c>
      <c r="J6">
        <v>460.40370000000001</v>
      </c>
      <c r="K6">
        <v>2.5</v>
      </c>
      <c r="L6">
        <v>0.3</v>
      </c>
      <c r="M6">
        <v>0.01</v>
      </c>
      <c r="N6">
        <v>0.15459999999999999</v>
      </c>
      <c r="O6">
        <v>0.18</v>
      </c>
      <c r="P6">
        <v>5.7999999999999996E-3</v>
      </c>
      <c r="Q6">
        <v>1.0699999999999999E-2</v>
      </c>
      <c r="R6" s="1">
        <v>1.0900000000000001</v>
      </c>
      <c r="S6">
        <v>3.6200000000000003E-2</v>
      </c>
      <c r="T6">
        <v>0.34210000000000002</v>
      </c>
      <c r="U6">
        <v>1</v>
      </c>
    </row>
    <row r="7" spans="1:21" x14ac:dyDescent="0.25">
      <c r="A7" t="s">
        <v>26</v>
      </c>
      <c r="B7" t="s">
        <v>22</v>
      </c>
      <c r="C7" t="s">
        <v>20</v>
      </c>
      <c r="D7">
        <v>15.05</v>
      </c>
      <c r="E7" s="3">
        <v>7.2</v>
      </c>
      <c r="F7" s="1">
        <v>28.319701099</v>
      </c>
      <c r="G7" s="1">
        <v>-16.513813763999998</v>
      </c>
      <c r="H7" s="1">
        <v>2011.3112000000001</v>
      </c>
      <c r="I7">
        <v>-406.09320000000002</v>
      </c>
      <c r="J7">
        <v>406.09320000000002</v>
      </c>
      <c r="K7">
        <v>1.9</v>
      </c>
      <c r="L7">
        <v>0.19</v>
      </c>
      <c r="M7">
        <v>6.1999999999999998E-3</v>
      </c>
      <c r="N7">
        <v>5.1700000000000003E-2</v>
      </c>
      <c r="O7">
        <v>0.43</v>
      </c>
      <c r="P7">
        <v>1.44E-2</v>
      </c>
      <c r="Q7">
        <v>0.1027</v>
      </c>
      <c r="R7" s="1">
        <v>2.09</v>
      </c>
      <c r="S7">
        <v>6.9599999999999995E-2</v>
      </c>
      <c r="T7">
        <v>0.3881</v>
      </c>
      <c r="U7">
        <v>1</v>
      </c>
    </row>
    <row r="8" spans="1:21" x14ac:dyDescent="0.25">
      <c r="A8" t="s">
        <v>27</v>
      </c>
      <c r="B8" t="s">
        <v>22</v>
      </c>
      <c r="C8" t="s">
        <v>20</v>
      </c>
      <c r="D8">
        <v>15.08</v>
      </c>
      <c r="E8" s="3">
        <v>9</v>
      </c>
      <c r="F8" s="1">
        <v>28.320616179000002</v>
      </c>
      <c r="G8" s="1">
        <v>-16.502399602000001</v>
      </c>
      <c r="H8" s="1">
        <v>2121.0475999999999</v>
      </c>
      <c r="I8">
        <v>-296.35680000000002</v>
      </c>
      <c r="J8">
        <v>296.35680000000002</v>
      </c>
      <c r="K8">
        <v>1.4</v>
      </c>
      <c r="L8">
        <v>0.02</v>
      </c>
      <c r="M8">
        <v>6.9999999999999999E-4</v>
      </c>
      <c r="N8">
        <v>8.2000000000000007E-3</v>
      </c>
      <c r="O8">
        <v>0.13</v>
      </c>
      <c r="P8">
        <v>4.3E-3</v>
      </c>
      <c r="Q8">
        <v>4.0099999999999997E-2</v>
      </c>
      <c r="R8" s="1">
        <v>0.47</v>
      </c>
      <c r="S8">
        <v>1.5699999999999999E-2</v>
      </c>
      <c r="T8">
        <v>0.17269999999999999</v>
      </c>
      <c r="U8">
        <v>1</v>
      </c>
    </row>
    <row r="9" spans="1:21" x14ac:dyDescent="0.25">
      <c r="A9" t="s">
        <v>28</v>
      </c>
      <c r="B9" t="s">
        <v>22</v>
      </c>
      <c r="C9" t="s">
        <v>20</v>
      </c>
      <c r="D9">
        <v>15.18</v>
      </c>
      <c r="E9" s="3">
        <v>7.5</v>
      </c>
      <c r="F9" s="1">
        <v>28.307786002</v>
      </c>
      <c r="G9" s="1">
        <v>-16.518197954000001</v>
      </c>
      <c r="H9" s="1">
        <v>2302.5061999999998</v>
      </c>
      <c r="I9">
        <v>-114.8982</v>
      </c>
      <c r="J9">
        <v>114.8982</v>
      </c>
      <c r="K9">
        <v>1.8</v>
      </c>
      <c r="L9">
        <v>0.06</v>
      </c>
      <c r="M9">
        <v>2.0999999999999999E-3</v>
      </c>
      <c r="N9">
        <v>1.41E-2</v>
      </c>
      <c r="O9">
        <v>0.04</v>
      </c>
      <c r="P9">
        <v>1.4E-3</v>
      </c>
      <c r="Q9">
        <v>5.3E-3</v>
      </c>
      <c r="R9" s="1">
        <v>0.6</v>
      </c>
      <c r="S9">
        <v>0.02</v>
      </c>
      <c r="T9">
        <v>0.1779</v>
      </c>
      <c r="U9">
        <v>1</v>
      </c>
    </row>
    <row r="10" spans="1:21" x14ac:dyDescent="0.25">
      <c r="A10" t="s">
        <v>29</v>
      </c>
      <c r="B10" t="s">
        <v>22</v>
      </c>
      <c r="C10" t="s">
        <v>20</v>
      </c>
      <c r="D10">
        <v>15</v>
      </c>
      <c r="E10" s="3">
        <v>8.1</v>
      </c>
      <c r="F10" s="1">
        <v>28.287328264999999</v>
      </c>
      <c r="G10" s="1">
        <v>-16.512746907</v>
      </c>
      <c r="H10" s="1">
        <v>2233.0810999999999</v>
      </c>
      <c r="I10">
        <v>-184.32329999999999</v>
      </c>
      <c r="J10">
        <v>184.32329999999999</v>
      </c>
      <c r="K10">
        <v>2.6</v>
      </c>
      <c r="L10">
        <v>0.15</v>
      </c>
      <c r="M10">
        <v>4.7999999999999996E-3</v>
      </c>
      <c r="N10">
        <v>4.8899999999999999E-2</v>
      </c>
      <c r="O10">
        <v>0.03</v>
      </c>
      <c r="P10">
        <v>8.9999999999999998E-4</v>
      </c>
      <c r="Q10">
        <v>3.0999999999999999E-3</v>
      </c>
      <c r="R10" s="1">
        <v>1.73</v>
      </c>
      <c r="S10">
        <v>5.7799999999999997E-2</v>
      </c>
      <c r="T10">
        <v>4.4600000000000001E-2</v>
      </c>
      <c r="U10">
        <v>1</v>
      </c>
    </row>
    <row r="11" spans="1:21" x14ac:dyDescent="0.25">
      <c r="A11" t="s">
        <v>30</v>
      </c>
      <c r="B11" t="s">
        <v>22</v>
      </c>
      <c r="C11" t="s">
        <v>20</v>
      </c>
      <c r="D11">
        <v>15.02</v>
      </c>
      <c r="E11" s="3">
        <v>8</v>
      </c>
      <c r="F11" s="1">
        <v>28.297288002999998</v>
      </c>
      <c r="G11" s="1">
        <v>-16.511362896000001</v>
      </c>
      <c r="H11" s="1">
        <v>2379.4050000000002</v>
      </c>
      <c r="I11">
        <v>-37.999400000000001</v>
      </c>
      <c r="J11">
        <v>37.999400000000001</v>
      </c>
      <c r="K11">
        <v>1.7</v>
      </c>
      <c r="L11">
        <v>7.0000000000000007E-2</v>
      </c>
      <c r="M11">
        <v>2.3E-3</v>
      </c>
      <c r="N11">
        <v>1.12E-2</v>
      </c>
      <c r="O11">
        <v>0.06</v>
      </c>
      <c r="P11">
        <v>2.0999999999999999E-3</v>
      </c>
      <c r="Q11">
        <v>2.52E-2</v>
      </c>
      <c r="R11" s="1">
        <v>0.28000000000000003</v>
      </c>
      <c r="S11">
        <v>9.4999999999999998E-3</v>
      </c>
      <c r="T11">
        <v>5.7500000000000002E-2</v>
      </c>
      <c r="U11">
        <v>1</v>
      </c>
    </row>
    <row r="12" spans="1:21" x14ac:dyDescent="0.25">
      <c r="A12" t="s">
        <v>31</v>
      </c>
      <c r="B12" t="s">
        <v>22</v>
      </c>
      <c r="C12" t="s">
        <v>20</v>
      </c>
      <c r="D12">
        <v>15</v>
      </c>
      <c r="E12" s="3">
        <v>9</v>
      </c>
      <c r="F12" s="1">
        <v>28.306840471000001</v>
      </c>
      <c r="G12" s="1">
        <v>-16.536205424999999</v>
      </c>
      <c r="H12" s="1">
        <v>2263.9270000000001</v>
      </c>
      <c r="I12">
        <v>-153.47739999999999</v>
      </c>
      <c r="J12">
        <v>153.47739999999999</v>
      </c>
      <c r="K12">
        <v>3.6</v>
      </c>
      <c r="L12">
        <v>0.02</v>
      </c>
      <c r="M12">
        <v>8.0000000000000004E-4</v>
      </c>
      <c r="N12">
        <v>8.5000000000000006E-3</v>
      </c>
      <c r="O12">
        <v>0.01</v>
      </c>
      <c r="P12">
        <v>4.0000000000000002E-4</v>
      </c>
      <c r="Q12">
        <v>3.8999999999999998E-3</v>
      </c>
      <c r="R12" s="1">
        <v>0.56000000000000005</v>
      </c>
      <c r="S12">
        <v>1.8800000000000001E-2</v>
      </c>
      <c r="T12">
        <v>8.7599999999999997E-2</v>
      </c>
      <c r="U12">
        <v>1</v>
      </c>
    </row>
    <row r="13" spans="1:21" x14ac:dyDescent="0.25">
      <c r="A13" t="s">
        <v>32</v>
      </c>
      <c r="B13" t="s">
        <v>19</v>
      </c>
      <c r="C13" t="s">
        <v>20</v>
      </c>
      <c r="D13">
        <v>23.22</v>
      </c>
      <c r="E13" s="3">
        <v>6</v>
      </c>
      <c r="F13" s="1">
        <v>28.373999829999999</v>
      </c>
      <c r="G13" s="1">
        <v>-16.463870385</v>
      </c>
      <c r="H13" s="1">
        <v>1946.8108999999999</v>
      </c>
      <c r="I13">
        <v>-470.59350000000001</v>
      </c>
      <c r="J13">
        <v>470.59350000000001</v>
      </c>
      <c r="K13">
        <v>8.1</v>
      </c>
      <c r="L13">
        <v>0.2</v>
      </c>
      <c r="M13">
        <v>5.4999999999999997E-3</v>
      </c>
      <c r="N13">
        <v>3.78E-2</v>
      </c>
      <c r="O13">
        <v>0.28000000000000003</v>
      </c>
      <c r="P13">
        <v>7.4000000000000003E-3</v>
      </c>
      <c r="Q13">
        <v>1.66E-2</v>
      </c>
      <c r="R13" s="1">
        <v>2.79</v>
      </c>
      <c r="S13">
        <v>7.4800000000000005E-2</v>
      </c>
      <c r="T13">
        <v>0.31850000000000001</v>
      </c>
      <c r="U13">
        <v>1</v>
      </c>
    </row>
    <row r="14" spans="1:21" x14ac:dyDescent="0.25">
      <c r="A14" t="s">
        <v>33</v>
      </c>
      <c r="B14" t="s">
        <v>34</v>
      </c>
      <c r="C14" t="s">
        <v>20</v>
      </c>
      <c r="D14">
        <v>5.07</v>
      </c>
      <c r="E14" s="3">
        <v>7</v>
      </c>
      <c r="F14" s="1">
        <v>28.280973026000002</v>
      </c>
      <c r="G14" s="1">
        <v>-16.514854674999999</v>
      </c>
      <c r="H14" s="1">
        <v>2222.5816</v>
      </c>
      <c r="I14">
        <v>-194.8228</v>
      </c>
      <c r="J14">
        <v>194.8228</v>
      </c>
      <c r="K14">
        <v>3.4</v>
      </c>
      <c r="L14">
        <v>0.27</v>
      </c>
      <c r="M14">
        <v>1.5299999999999999E-2</v>
      </c>
      <c r="N14">
        <v>3.6600000000000001E-2</v>
      </c>
      <c r="O14">
        <v>0.08</v>
      </c>
      <c r="P14">
        <v>4.4999999999999997E-3</v>
      </c>
      <c r="Q14">
        <v>1.0500000000000001E-2</v>
      </c>
      <c r="R14" s="1">
        <v>0.72</v>
      </c>
      <c r="S14">
        <v>4.1300000000000003E-2</v>
      </c>
      <c r="T14">
        <v>6.8099999999999994E-2</v>
      </c>
      <c r="U14">
        <v>1</v>
      </c>
    </row>
    <row r="15" spans="1:21" x14ac:dyDescent="0.25">
      <c r="A15" t="s">
        <v>35</v>
      </c>
      <c r="B15" t="s">
        <v>34</v>
      </c>
      <c r="C15" t="s">
        <v>20</v>
      </c>
      <c r="D15">
        <v>5.22</v>
      </c>
      <c r="E15" s="3">
        <v>6</v>
      </c>
      <c r="F15" s="1">
        <v>28.280969892000002</v>
      </c>
      <c r="G15" s="1">
        <v>-16.515021583999999</v>
      </c>
      <c r="H15" s="1">
        <v>2222.7936</v>
      </c>
      <c r="I15">
        <v>-194.61080000000001</v>
      </c>
      <c r="J15">
        <v>194.61080000000001</v>
      </c>
      <c r="K15">
        <v>3.4</v>
      </c>
      <c r="L15">
        <v>0.02</v>
      </c>
      <c r="M15">
        <v>1E-3</v>
      </c>
      <c r="N15">
        <v>5.1000000000000004E-3</v>
      </c>
      <c r="O15">
        <v>0.03</v>
      </c>
      <c r="P15">
        <v>1.6000000000000001E-3</v>
      </c>
      <c r="Q15">
        <v>6.7000000000000002E-3</v>
      </c>
      <c r="R15" s="1">
        <v>0.51</v>
      </c>
      <c r="S15">
        <v>2.8899999999999999E-2</v>
      </c>
      <c r="T15">
        <v>0.1454</v>
      </c>
      <c r="U15">
        <v>1</v>
      </c>
    </row>
    <row r="16" spans="1:21" x14ac:dyDescent="0.25">
      <c r="A16" t="s">
        <v>36</v>
      </c>
      <c r="B16" t="s">
        <v>34</v>
      </c>
      <c r="C16" t="s">
        <v>20</v>
      </c>
      <c r="D16">
        <v>5.08</v>
      </c>
      <c r="E16" s="3">
        <v>6</v>
      </c>
      <c r="F16" s="1">
        <v>28.281067944</v>
      </c>
      <c r="G16" s="1">
        <v>-16.515194137000002</v>
      </c>
      <c r="H16" s="1">
        <v>2223.4223999999999</v>
      </c>
      <c r="I16">
        <v>-193.982</v>
      </c>
      <c r="J16">
        <v>193.982</v>
      </c>
      <c r="K16">
        <v>3.4</v>
      </c>
      <c r="L16">
        <v>0.19</v>
      </c>
      <c r="M16">
        <v>1.0800000000000001E-2</v>
      </c>
      <c r="N16">
        <v>1.4200000000000001E-2</v>
      </c>
      <c r="O16">
        <v>0.36</v>
      </c>
      <c r="P16">
        <v>2.0299999999999999E-2</v>
      </c>
      <c r="Q16">
        <v>2.0799999999999999E-2</v>
      </c>
      <c r="R16" s="1">
        <v>7.54</v>
      </c>
      <c r="S16">
        <v>0.43080000000000002</v>
      </c>
      <c r="T16">
        <v>0.45240000000000002</v>
      </c>
      <c r="U16">
        <v>1</v>
      </c>
    </row>
    <row r="17" spans="1:21" x14ac:dyDescent="0.25">
      <c r="A17" t="s">
        <v>37</v>
      </c>
      <c r="B17" t="s">
        <v>34</v>
      </c>
      <c r="C17" t="s">
        <v>20</v>
      </c>
      <c r="D17">
        <v>5.08</v>
      </c>
      <c r="E17" s="3">
        <v>7</v>
      </c>
      <c r="F17" s="1">
        <v>28.281120941000001</v>
      </c>
      <c r="G17" s="1">
        <v>-16.515308493999999</v>
      </c>
      <c r="H17" s="1">
        <v>2223.8847999999998</v>
      </c>
      <c r="I17">
        <v>-193.5196</v>
      </c>
      <c r="J17">
        <v>193.5196</v>
      </c>
      <c r="K17">
        <v>3.4</v>
      </c>
      <c r="L17">
        <v>0.04</v>
      </c>
      <c r="M17">
        <v>2.0999999999999999E-3</v>
      </c>
      <c r="N17">
        <v>2.0999999999999999E-3</v>
      </c>
      <c r="O17">
        <v>0.04</v>
      </c>
      <c r="P17">
        <v>2.3E-3</v>
      </c>
      <c r="Q17">
        <v>6.9999999999999999E-4</v>
      </c>
      <c r="R17" s="1">
        <v>0.2</v>
      </c>
      <c r="S17">
        <v>1.1599999999999999E-2</v>
      </c>
      <c r="T17">
        <v>3.7400000000000003E-2</v>
      </c>
      <c r="U17">
        <v>1</v>
      </c>
    </row>
    <row r="18" spans="1:21" x14ac:dyDescent="0.25">
      <c r="A18" t="s">
        <v>38</v>
      </c>
      <c r="B18" t="s">
        <v>34</v>
      </c>
      <c r="C18" t="s">
        <v>20</v>
      </c>
      <c r="D18">
        <v>5.07</v>
      </c>
      <c r="E18" s="3">
        <v>7.6</v>
      </c>
      <c r="F18" s="1">
        <v>28.281190479999999</v>
      </c>
      <c r="G18" s="1">
        <v>-16.515460591</v>
      </c>
      <c r="H18" s="1">
        <v>2225.1617000000001</v>
      </c>
      <c r="I18">
        <v>-192.24270000000001</v>
      </c>
      <c r="J18">
        <v>192.24270000000001</v>
      </c>
      <c r="K18">
        <v>3.4</v>
      </c>
      <c r="L18">
        <v>0.09</v>
      </c>
      <c r="M18">
        <v>5.4000000000000003E-3</v>
      </c>
      <c r="N18">
        <v>4.1999999999999997E-3</v>
      </c>
      <c r="O18">
        <v>0.13</v>
      </c>
      <c r="P18">
        <v>7.7000000000000002E-3</v>
      </c>
      <c r="Q18">
        <v>1.7000000000000001E-2</v>
      </c>
      <c r="R18" s="1">
        <v>2.2999999999999998</v>
      </c>
      <c r="S18">
        <v>0.13159999999999999</v>
      </c>
      <c r="T18">
        <v>0.23799999999999999</v>
      </c>
      <c r="U18">
        <v>1</v>
      </c>
    </row>
    <row r="19" spans="1:21" x14ac:dyDescent="0.25">
      <c r="A19" t="s">
        <v>39</v>
      </c>
      <c r="B19" t="s">
        <v>34</v>
      </c>
      <c r="C19" t="s">
        <v>20</v>
      </c>
      <c r="D19">
        <v>5.03</v>
      </c>
      <c r="E19" s="3">
        <v>8</v>
      </c>
      <c r="F19" s="1">
        <v>28.281204123999999</v>
      </c>
      <c r="G19" s="1">
        <v>-16.515550558000001</v>
      </c>
      <c r="H19" s="1">
        <v>2225.3112000000001</v>
      </c>
      <c r="I19">
        <v>-192.0932</v>
      </c>
      <c r="J19">
        <v>192.0932</v>
      </c>
      <c r="K19">
        <v>3.4</v>
      </c>
      <c r="L19">
        <v>0.1</v>
      </c>
      <c r="M19">
        <v>5.7999999999999996E-3</v>
      </c>
      <c r="N19">
        <v>1.24E-2</v>
      </c>
      <c r="O19">
        <v>0.1</v>
      </c>
      <c r="P19">
        <v>5.7999999999999996E-3</v>
      </c>
      <c r="Q19">
        <v>1.0200000000000001E-2</v>
      </c>
      <c r="R19" s="1">
        <v>1.65</v>
      </c>
      <c r="S19">
        <v>9.4899999999999998E-2</v>
      </c>
      <c r="T19">
        <v>0.16700000000000001</v>
      </c>
      <c r="U19">
        <v>1</v>
      </c>
    </row>
    <row r="20" spans="1:21" x14ac:dyDescent="0.25">
      <c r="A20" t="s">
        <v>40</v>
      </c>
      <c r="B20" t="s">
        <v>34</v>
      </c>
      <c r="C20" t="s">
        <v>20</v>
      </c>
      <c r="D20">
        <v>5</v>
      </c>
      <c r="E20" s="3">
        <v>8</v>
      </c>
      <c r="F20" s="1">
        <v>28.281248651999999</v>
      </c>
      <c r="G20" s="1">
        <v>-16.515665576</v>
      </c>
      <c r="H20" s="1">
        <v>2225.4315999999999</v>
      </c>
      <c r="I20">
        <v>-191.97280000000001</v>
      </c>
      <c r="J20">
        <v>191.97280000000001</v>
      </c>
      <c r="K20">
        <v>3.4</v>
      </c>
      <c r="L20">
        <v>0.18</v>
      </c>
      <c r="M20">
        <v>1.04E-2</v>
      </c>
      <c r="N20">
        <v>9.7999999999999997E-3</v>
      </c>
      <c r="O20">
        <v>0.08</v>
      </c>
      <c r="P20">
        <v>4.8999999999999998E-3</v>
      </c>
      <c r="Q20">
        <v>4.3E-3</v>
      </c>
      <c r="R20" s="1">
        <v>3.61</v>
      </c>
      <c r="S20">
        <v>0.20799999999999999</v>
      </c>
      <c r="T20">
        <v>0.22289999999999999</v>
      </c>
      <c r="U20">
        <v>1</v>
      </c>
    </row>
    <row r="21" spans="1:21" x14ac:dyDescent="0.25">
      <c r="A21" t="s">
        <v>41</v>
      </c>
      <c r="B21" t="s">
        <v>34</v>
      </c>
      <c r="C21" t="s">
        <v>20</v>
      </c>
      <c r="D21">
        <v>5.3</v>
      </c>
      <c r="E21" s="3">
        <v>8</v>
      </c>
      <c r="F21" s="1">
        <v>28.281393005999998</v>
      </c>
      <c r="G21" s="1">
        <v>-16.515975922999999</v>
      </c>
      <c r="H21" s="1">
        <v>2226.5355</v>
      </c>
      <c r="I21">
        <v>-190.8689</v>
      </c>
      <c r="J21">
        <v>190.8689</v>
      </c>
      <c r="K21">
        <v>3.4</v>
      </c>
      <c r="L21">
        <v>0.1</v>
      </c>
      <c r="M21">
        <v>5.8999999999999999E-3</v>
      </c>
      <c r="N21">
        <v>1.06E-2</v>
      </c>
      <c r="O21">
        <v>0.05</v>
      </c>
      <c r="P21">
        <v>3.0000000000000001E-3</v>
      </c>
      <c r="Q21">
        <v>8.0000000000000004E-4</v>
      </c>
      <c r="R21" s="1">
        <v>2.56</v>
      </c>
      <c r="S21">
        <v>0.1431</v>
      </c>
      <c r="T21">
        <v>5.6500000000000002E-2</v>
      </c>
      <c r="U21">
        <v>1</v>
      </c>
    </row>
    <row r="22" spans="1:21" x14ac:dyDescent="0.25">
      <c r="A22" t="s">
        <v>42</v>
      </c>
      <c r="B22" t="s">
        <v>43</v>
      </c>
      <c r="C22" t="s">
        <v>20</v>
      </c>
      <c r="D22">
        <v>15</v>
      </c>
      <c r="E22" s="3">
        <v>8.8000000000000007</v>
      </c>
      <c r="F22" s="1">
        <v>28.281835493999999</v>
      </c>
      <c r="G22" s="1">
        <v>-16.516786109000002</v>
      </c>
      <c r="H22" s="1">
        <v>2234.1424000000002</v>
      </c>
      <c r="I22">
        <v>-183.262</v>
      </c>
      <c r="J22">
        <v>183.262</v>
      </c>
      <c r="K22">
        <v>3.4</v>
      </c>
      <c r="L22">
        <v>0.03</v>
      </c>
      <c r="M22">
        <v>8.9999999999999998E-4</v>
      </c>
      <c r="N22">
        <v>2.0999999999999999E-3</v>
      </c>
      <c r="O22">
        <v>0.01</v>
      </c>
      <c r="P22">
        <v>2.0000000000000001E-4</v>
      </c>
      <c r="Q22">
        <v>1E-4</v>
      </c>
      <c r="R22" s="1">
        <v>0.28000000000000003</v>
      </c>
      <c r="S22">
        <v>9.2999999999999992E-3</v>
      </c>
      <c r="T22">
        <v>4.6899999999999997E-2</v>
      </c>
      <c r="U22">
        <v>1</v>
      </c>
    </row>
    <row r="23" spans="1:21" x14ac:dyDescent="0.25">
      <c r="A23" t="s">
        <v>44</v>
      </c>
      <c r="B23" t="s">
        <v>43</v>
      </c>
      <c r="C23" t="s">
        <v>20</v>
      </c>
      <c r="D23">
        <v>16.23</v>
      </c>
      <c r="E23" s="3">
        <v>8.6</v>
      </c>
      <c r="F23" s="1">
        <v>28.272772507999999</v>
      </c>
      <c r="G23" s="1">
        <v>-16.516246881000001</v>
      </c>
      <c r="H23" s="1">
        <v>2197.4416999999999</v>
      </c>
      <c r="I23">
        <v>-219.96270000000001</v>
      </c>
      <c r="J23">
        <v>219.96270000000001</v>
      </c>
      <c r="K23">
        <v>4.2</v>
      </c>
      <c r="L23">
        <v>0.03</v>
      </c>
      <c r="M23">
        <v>8.9999999999999998E-4</v>
      </c>
      <c r="N23">
        <v>9.9000000000000008E-3</v>
      </c>
      <c r="O23">
        <v>0.17</v>
      </c>
      <c r="P23">
        <v>5.4999999999999997E-3</v>
      </c>
      <c r="Q23">
        <v>5.7299999999999997E-2</v>
      </c>
      <c r="R23" s="1">
        <v>2.25</v>
      </c>
      <c r="S23">
        <v>7.22E-2</v>
      </c>
      <c r="T23">
        <v>0.64100000000000001</v>
      </c>
      <c r="U23">
        <v>1</v>
      </c>
    </row>
    <row r="24" spans="1:21" x14ac:dyDescent="0.25">
      <c r="A24" t="s">
        <v>45</v>
      </c>
      <c r="B24" t="s">
        <v>43</v>
      </c>
      <c r="C24" t="s">
        <v>20</v>
      </c>
      <c r="D24">
        <v>15</v>
      </c>
      <c r="E24" s="3">
        <v>8.6</v>
      </c>
      <c r="F24" s="1">
        <v>28.259524269</v>
      </c>
      <c r="G24" s="1">
        <v>-16.519988894000001</v>
      </c>
      <c r="H24" s="1">
        <v>2080.8778000000002</v>
      </c>
      <c r="I24">
        <v>-336.52659999999997</v>
      </c>
      <c r="J24">
        <v>336.52659999999997</v>
      </c>
      <c r="K24">
        <v>5.7</v>
      </c>
      <c r="L24">
        <v>0.08</v>
      </c>
      <c r="M24">
        <v>2.7000000000000001E-3</v>
      </c>
      <c r="N24">
        <v>2.3300000000000001E-2</v>
      </c>
      <c r="O24">
        <v>0.11</v>
      </c>
      <c r="P24">
        <v>3.5999999999999999E-3</v>
      </c>
      <c r="Q24">
        <v>4.5999999999999999E-3</v>
      </c>
      <c r="R24" s="1">
        <v>1.29</v>
      </c>
      <c r="S24">
        <v>4.3099999999999999E-2</v>
      </c>
      <c r="T24">
        <v>0.13769999999999999</v>
      </c>
      <c r="U24">
        <v>1</v>
      </c>
    </row>
    <row r="25" spans="1:21" x14ac:dyDescent="0.25">
      <c r="A25" t="s">
        <v>46</v>
      </c>
      <c r="B25" t="s">
        <v>43</v>
      </c>
      <c r="C25" t="s">
        <v>20</v>
      </c>
      <c r="D25">
        <v>15</v>
      </c>
      <c r="E25" s="3">
        <v>7.1</v>
      </c>
      <c r="F25" s="1">
        <v>28.276225108999999</v>
      </c>
      <c r="G25" s="1">
        <v>-16.508941457999999</v>
      </c>
      <c r="H25" s="1">
        <v>2146.0544</v>
      </c>
      <c r="I25">
        <v>-271.35000000000002</v>
      </c>
      <c r="J25">
        <v>271.35000000000002</v>
      </c>
      <c r="K25">
        <v>3.7</v>
      </c>
      <c r="L25">
        <v>0.14000000000000001</v>
      </c>
      <c r="M25">
        <v>4.5999999999999999E-3</v>
      </c>
      <c r="N25">
        <v>9.7000000000000003E-3</v>
      </c>
      <c r="O25">
        <v>7.0000000000000007E-2</v>
      </c>
      <c r="P25">
        <v>2.3E-3</v>
      </c>
      <c r="Q25">
        <v>8.6E-3</v>
      </c>
      <c r="R25" s="1">
        <v>0.6</v>
      </c>
      <c r="S25">
        <v>2.01E-2</v>
      </c>
      <c r="T25">
        <v>3.9800000000000002E-2</v>
      </c>
      <c r="U25">
        <v>1</v>
      </c>
    </row>
    <row r="26" spans="1:21" x14ac:dyDescent="0.25">
      <c r="A26" t="s">
        <v>47</v>
      </c>
      <c r="B26" t="s">
        <v>43</v>
      </c>
      <c r="C26" t="s">
        <v>20</v>
      </c>
      <c r="D26">
        <v>15</v>
      </c>
      <c r="E26" s="3">
        <v>7</v>
      </c>
      <c r="F26" s="1">
        <v>28.268633231999999</v>
      </c>
      <c r="G26" s="1">
        <v>-16.495895569000002</v>
      </c>
      <c r="H26" s="1">
        <v>1782.4821999999999</v>
      </c>
      <c r="I26">
        <v>-634.92219999999998</v>
      </c>
      <c r="J26">
        <v>634.92219999999998</v>
      </c>
      <c r="K26">
        <v>4.4000000000000004</v>
      </c>
      <c r="L26">
        <v>0.04</v>
      </c>
      <c r="M26">
        <v>1.4E-3</v>
      </c>
      <c r="N26">
        <v>8.3999999999999995E-3</v>
      </c>
      <c r="O26">
        <v>0.05</v>
      </c>
      <c r="P26">
        <v>1.6999999999999999E-3</v>
      </c>
      <c r="Q26">
        <v>1.6000000000000001E-3</v>
      </c>
      <c r="R26" s="1">
        <v>0.4</v>
      </c>
      <c r="S26">
        <v>1.34E-2</v>
      </c>
      <c r="T26">
        <v>6.9400000000000003E-2</v>
      </c>
      <c r="U26">
        <v>1</v>
      </c>
    </row>
    <row r="27" spans="1:21" x14ac:dyDescent="0.25">
      <c r="A27" t="s">
        <v>48</v>
      </c>
      <c r="B27" t="s">
        <v>43</v>
      </c>
      <c r="C27" t="s">
        <v>20</v>
      </c>
      <c r="D27">
        <v>21.62</v>
      </c>
      <c r="E27" s="3">
        <v>6.6</v>
      </c>
      <c r="F27" s="1">
        <v>28.258312844999999</v>
      </c>
      <c r="G27" s="1">
        <v>-16.484563980000001</v>
      </c>
      <c r="H27" s="1">
        <v>1390.7771</v>
      </c>
      <c r="I27">
        <v>-1026.6273000000001</v>
      </c>
      <c r="J27">
        <v>1026.6273000000001</v>
      </c>
      <c r="K27">
        <v>5.8</v>
      </c>
      <c r="L27">
        <v>1.21</v>
      </c>
      <c r="M27">
        <v>3.3500000000000002E-2</v>
      </c>
      <c r="N27">
        <v>0.96679999999999999</v>
      </c>
      <c r="O27">
        <v>0.3</v>
      </c>
      <c r="P27">
        <v>8.2000000000000007E-3</v>
      </c>
      <c r="Q27">
        <v>9.2899999999999996E-2</v>
      </c>
      <c r="R27" s="1">
        <v>3.11</v>
      </c>
      <c r="S27">
        <v>8.6199999999999999E-2</v>
      </c>
      <c r="T27">
        <v>1.4406000000000001</v>
      </c>
      <c r="U27">
        <v>1</v>
      </c>
    </row>
    <row r="28" spans="1:21" x14ac:dyDescent="0.25">
      <c r="A28" t="s">
        <v>49</v>
      </c>
      <c r="B28" t="s">
        <v>43</v>
      </c>
      <c r="C28" t="s">
        <v>20</v>
      </c>
      <c r="D28">
        <v>15</v>
      </c>
      <c r="E28" s="3">
        <v>6</v>
      </c>
      <c r="F28" s="1">
        <v>28.269411089999998</v>
      </c>
      <c r="G28" s="1">
        <v>-16.481004017</v>
      </c>
      <c r="H28" s="1">
        <v>1433.6224999999999</v>
      </c>
      <c r="I28">
        <v>-983.78189999999995</v>
      </c>
      <c r="J28">
        <v>983.78189999999995</v>
      </c>
      <c r="K28">
        <v>4.8</v>
      </c>
      <c r="L28">
        <v>0.27</v>
      </c>
      <c r="M28">
        <v>9.1999999999999998E-3</v>
      </c>
      <c r="N28">
        <v>1.78E-2</v>
      </c>
      <c r="O28">
        <v>0.19</v>
      </c>
      <c r="P28">
        <v>6.4999999999999997E-3</v>
      </c>
      <c r="Q28">
        <v>3.39E-2</v>
      </c>
      <c r="R28" s="1">
        <v>3.34</v>
      </c>
      <c r="S28">
        <v>0.1113</v>
      </c>
      <c r="T28">
        <v>1.3073999999999999</v>
      </c>
      <c r="U28">
        <v>1</v>
      </c>
    </row>
    <row r="29" spans="1:21" x14ac:dyDescent="0.25">
      <c r="A29" t="s">
        <v>50</v>
      </c>
      <c r="B29" t="s">
        <v>43</v>
      </c>
      <c r="C29" t="s">
        <v>20</v>
      </c>
      <c r="D29">
        <v>14.98</v>
      </c>
      <c r="E29" s="3">
        <v>7.3</v>
      </c>
      <c r="F29" s="1">
        <v>28.252444232999999</v>
      </c>
      <c r="G29" s="1">
        <v>-16.459840035999999</v>
      </c>
      <c r="H29" s="1">
        <v>923.47249999999997</v>
      </c>
      <c r="I29">
        <v>-1493.9319</v>
      </c>
      <c r="J29">
        <v>1493.9319</v>
      </c>
      <c r="K29">
        <v>7.5</v>
      </c>
      <c r="L29">
        <v>0.72</v>
      </c>
      <c r="M29">
        <v>2.3800000000000002E-2</v>
      </c>
      <c r="N29">
        <v>9.8000000000000004E-2</v>
      </c>
      <c r="O29">
        <v>0.55000000000000004</v>
      </c>
      <c r="P29">
        <v>1.8200000000000001E-2</v>
      </c>
      <c r="Q29">
        <v>7.9200000000000007E-2</v>
      </c>
      <c r="R29" s="1">
        <v>2.74</v>
      </c>
      <c r="S29">
        <v>9.1499999999999998E-2</v>
      </c>
      <c r="T29">
        <v>6.4600000000000005E-2</v>
      </c>
      <c r="U29">
        <v>2</v>
      </c>
    </row>
    <row r="30" spans="1:21" x14ac:dyDescent="0.25">
      <c r="A30" t="s">
        <v>51</v>
      </c>
      <c r="B30" t="s">
        <v>52</v>
      </c>
      <c r="C30" t="s">
        <v>20</v>
      </c>
      <c r="D30">
        <v>15.03</v>
      </c>
      <c r="E30" s="3">
        <v>7</v>
      </c>
      <c r="F30" s="1">
        <v>28.306738637999999</v>
      </c>
      <c r="G30" s="1">
        <v>-16.436439200999999</v>
      </c>
      <c r="H30" s="1">
        <v>689.52959999999996</v>
      </c>
      <c r="I30">
        <v>-1727.8748000000001</v>
      </c>
      <c r="J30">
        <v>1727.8748000000001</v>
      </c>
      <c r="K30">
        <v>6.4</v>
      </c>
      <c r="L30">
        <v>0.04</v>
      </c>
      <c r="M30">
        <v>1.1999999999999999E-3</v>
      </c>
      <c r="N30">
        <v>4.4999999999999997E-3</v>
      </c>
      <c r="O30">
        <v>0.04</v>
      </c>
      <c r="P30">
        <v>1.2999999999999999E-3</v>
      </c>
      <c r="Q30">
        <v>4.4000000000000003E-3</v>
      </c>
      <c r="R30" s="1">
        <v>0.39</v>
      </c>
      <c r="S30">
        <v>1.2999999999999999E-2</v>
      </c>
      <c r="T30">
        <v>8.6699999999999999E-2</v>
      </c>
      <c r="U30">
        <v>1</v>
      </c>
    </row>
    <row r="31" spans="1:21" x14ac:dyDescent="0.25">
      <c r="A31" t="s">
        <v>120</v>
      </c>
      <c r="B31" t="s">
        <v>52</v>
      </c>
      <c r="C31" t="s">
        <v>20</v>
      </c>
      <c r="D31">
        <v>15.05</v>
      </c>
      <c r="E31" s="3">
        <v>8</v>
      </c>
      <c r="F31" s="1">
        <v>28.320580938999999</v>
      </c>
      <c r="G31" s="1">
        <v>-16.43988985</v>
      </c>
      <c r="H31" s="1">
        <v>834.82159999999999</v>
      </c>
      <c r="I31">
        <v>-1582.5827999999999</v>
      </c>
      <c r="J31">
        <v>1582.5827999999999</v>
      </c>
      <c r="K31">
        <v>6.2</v>
      </c>
      <c r="L31">
        <v>0.26</v>
      </c>
      <c r="M31">
        <v>8.6999999999999994E-3</v>
      </c>
      <c r="N31">
        <v>3.2599999999999997E-2</v>
      </c>
      <c r="O31">
        <v>0.16</v>
      </c>
      <c r="P31">
        <v>5.3E-3</v>
      </c>
      <c r="Q31">
        <v>1.72E-2</v>
      </c>
      <c r="R31" s="1">
        <v>3.24</v>
      </c>
      <c r="S31">
        <v>0.1076</v>
      </c>
      <c r="T31">
        <v>0.43219999999999997</v>
      </c>
      <c r="U31">
        <v>1</v>
      </c>
    </row>
    <row r="32" spans="1:21" x14ac:dyDescent="0.25">
      <c r="A32" t="s">
        <v>121</v>
      </c>
      <c r="B32" t="s">
        <v>52</v>
      </c>
      <c r="C32" t="s">
        <v>20</v>
      </c>
      <c r="D32">
        <v>24.98</v>
      </c>
      <c r="E32" s="3">
        <v>7.2</v>
      </c>
      <c r="F32" s="1">
        <v>28.316434573999999</v>
      </c>
      <c r="G32" s="1">
        <v>-16.458119418999999</v>
      </c>
      <c r="H32" s="1">
        <v>1376.7636</v>
      </c>
      <c r="I32">
        <v>-1040.6407999999999</v>
      </c>
      <c r="J32">
        <v>1040.6407999999999</v>
      </c>
      <c r="K32">
        <v>4.3</v>
      </c>
      <c r="L32">
        <v>0.55000000000000004</v>
      </c>
      <c r="M32">
        <v>1.4200000000000001E-2</v>
      </c>
      <c r="N32">
        <v>5.62E-2</v>
      </c>
      <c r="O32">
        <v>0.18</v>
      </c>
      <c r="P32">
        <v>4.5999999999999999E-3</v>
      </c>
      <c r="Q32">
        <v>6.1600000000000002E-2</v>
      </c>
      <c r="R32" s="1">
        <v>3.33</v>
      </c>
      <c r="S32">
        <v>8.6099999999999996E-2</v>
      </c>
      <c r="T32">
        <v>1.4657</v>
      </c>
      <c r="U32">
        <v>1</v>
      </c>
    </row>
    <row r="33" spans="1:21" x14ac:dyDescent="0.25">
      <c r="A33" t="s">
        <v>122</v>
      </c>
      <c r="B33" t="s">
        <v>52</v>
      </c>
      <c r="C33" t="s">
        <v>20</v>
      </c>
      <c r="D33">
        <v>15.02</v>
      </c>
      <c r="E33" s="3">
        <v>7</v>
      </c>
      <c r="F33" s="1">
        <v>28.318723406</v>
      </c>
      <c r="G33" s="1">
        <v>-16.447786297</v>
      </c>
      <c r="H33" s="1">
        <v>1068.7221</v>
      </c>
      <c r="I33">
        <v>-1348.6822999999999</v>
      </c>
      <c r="J33">
        <v>1348.6822999999999</v>
      </c>
      <c r="K33">
        <v>5.4</v>
      </c>
      <c r="L33">
        <v>0.18</v>
      </c>
      <c r="M33">
        <v>5.8999999999999999E-3</v>
      </c>
      <c r="N33">
        <v>7.1400000000000005E-2</v>
      </c>
      <c r="O33">
        <v>0.05</v>
      </c>
      <c r="P33">
        <v>1.5E-3</v>
      </c>
      <c r="Q33">
        <v>1E-3</v>
      </c>
      <c r="R33" s="1">
        <v>2.13</v>
      </c>
      <c r="S33">
        <v>7.0999999999999994E-2</v>
      </c>
      <c r="T33">
        <v>0.72360000000000002</v>
      </c>
      <c r="U33">
        <v>1</v>
      </c>
    </row>
    <row r="34" spans="1:21" x14ac:dyDescent="0.25">
      <c r="A34" t="s">
        <v>123</v>
      </c>
      <c r="B34" t="s">
        <v>52</v>
      </c>
      <c r="C34" t="s">
        <v>20</v>
      </c>
      <c r="D34">
        <v>15.02</v>
      </c>
      <c r="E34" s="3">
        <v>6.8</v>
      </c>
      <c r="F34" s="1">
        <v>28.342091861</v>
      </c>
      <c r="G34" s="1">
        <v>-16.459007116999999</v>
      </c>
      <c r="H34" s="1">
        <v>1496.8793000000001</v>
      </c>
      <c r="I34">
        <v>-920.52509999999995</v>
      </c>
      <c r="J34">
        <v>920.52509999999995</v>
      </c>
      <c r="K34">
        <v>5.6</v>
      </c>
      <c r="L34">
        <v>0.15</v>
      </c>
      <c r="M34">
        <v>4.8999999999999998E-3</v>
      </c>
      <c r="N34">
        <v>1.5800000000000002E-2</v>
      </c>
      <c r="O34">
        <v>0.09</v>
      </c>
      <c r="P34">
        <v>3.0999999999999999E-3</v>
      </c>
      <c r="Q34">
        <v>6.4999999999999997E-3</v>
      </c>
      <c r="R34" s="1">
        <v>0.37</v>
      </c>
      <c r="S34">
        <v>1.2200000000000001E-2</v>
      </c>
      <c r="T34">
        <v>3.1300000000000001E-2</v>
      </c>
      <c r="U34">
        <v>1</v>
      </c>
    </row>
    <row r="35" spans="1:21" x14ac:dyDescent="0.25">
      <c r="A35" t="s">
        <v>124</v>
      </c>
      <c r="B35" t="s">
        <v>52</v>
      </c>
      <c r="C35" t="s">
        <v>20</v>
      </c>
      <c r="D35">
        <v>15.85</v>
      </c>
      <c r="E35" s="3">
        <v>8</v>
      </c>
      <c r="F35" s="1">
        <v>28.339910314000001</v>
      </c>
      <c r="G35" s="1">
        <v>-16.451888977999999</v>
      </c>
      <c r="H35" s="1">
        <v>1331.5884000000001</v>
      </c>
      <c r="I35">
        <v>-1085.816</v>
      </c>
      <c r="J35">
        <v>1085.816</v>
      </c>
      <c r="K35">
        <v>6</v>
      </c>
      <c r="L35">
        <v>0.12</v>
      </c>
      <c r="M35">
        <v>3.8999999999999998E-3</v>
      </c>
      <c r="N35">
        <v>4.7500000000000001E-2</v>
      </c>
      <c r="O35">
        <v>0.12</v>
      </c>
      <c r="P35">
        <v>3.8999999999999998E-3</v>
      </c>
      <c r="Q35">
        <v>1.34E-2</v>
      </c>
      <c r="R35" s="1">
        <v>1.88</v>
      </c>
      <c r="S35">
        <v>6.08E-2</v>
      </c>
      <c r="T35">
        <v>0.21859999999999999</v>
      </c>
      <c r="U35">
        <v>1</v>
      </c>
    </row>
    <row r="36" spans="1:21" x14ac:dyDescent="0.25">
      <c r="A36" t="s">
        <v>125</v>
      </c>
      <c r="B36" t="s">
        <v>52</v>
      </c>
      <c r="C36" t="s">
        <v>20</v>
      </c>
      <c r="D36">
        <v>15.75</v>
      </c>
      <c r="E36" s="3">
        <v>7.4</v>
      </c>
      <c r="F36" s="1">
        <v>28.332866981999999</v>
      </c>
      <c r="G36" s="1">
        <v>-16.453987985000001</v>
      </c>
      <c r="H36" s="1">
        <v>1209.9277999999999</v>
      </c>
      <c r="I36">
        <v>-1207.4766</v>
      </c>
      <c r="J36">
        <v>1207.4766</v>
      </c>
      <c r="K36">
        <v>5.4</v>
      </c>
      <c r="L36">
        <v>0.95</v>
      </c>
      <c r="M36">
        <v>3.1E-2</v>
      </c>
      <c r="N36">
        <v>2.4400000000000002E-2</v>
      </c>
      <c r="O36">
        <v>1.3</v>
      </c>
      <c r="P36">
        <v>4.2299999999999997E-2</v>
      </c>
      <c r="Q36">
        <v>4.0899999999999999E-2</v>
      </c>
      <c r="R36" s="1">
        <v>9.48</v>
      </c>
      <c r="S36">
        <v>0.30830000000000002</v>
      </c>
      <c r="T36">
        <v>0.64159999999999995</v>
      </c>
      <c r="U36">
        <v>1</v>
      </c>
    </row>
    <row r="37" spans="1:21" x14ac:dyDescent="0.25">
      <c r="A37" t="s">
        <v>54</v>
      </c>
      <c r="B37" t="s">
        <v>55</v>
      </c>
      <c r="C37" t="s">
        <v>53</v>
      </c>
      <c r="D37">
        <v>15.5</v>
      </c>
      <c r="E37" s="3">
        <v>7.1</v>
      </c>
      <c r="F37" s="1">
        <v>28.454253887</v>
      </c>
      <c r="G37" s="1">
        <v>-16.326898067999998</v>
      </c>
      <c r="H37" s="1">
        <v>625.41079999999999</v>
      </c>
      <c r="I37">
        <v>573.65769999999998</v>
      </c>
      <c r="J37">
        <v>573.65769999999998</v>
      </c>
      <c r="K37">
        <v>8.8000000000000007</v>
      </c>
      <c r="L37">
        <v>1.51</v>
      </c>
      <c r="M37">
        <v>4.9500000000000002E-2</v>
      </c>
      <c r="N37">
        <v>0.73850000000000005</v>
      </c>
      <c r="O37">
        <v>4.7699999999999996</v>
      </c>
      <c r="P37">
        <v>0.1565</v>
      </c>
      <c r="Q37">
        <v>16.904900000000001</v>
      </c>
      <c r="R37" s="1">
        <v>4.74</v>
      </c>
      <c r="S37">
        <v>0.15540000000000001</v>
      </c>
      <c r="T37">
        <v>2.0154999999999998</v>
      </c>
      <c r="U37">
        <v>2</v>
      </c>
    </row>
    <row r="38" spans="1:21" x14ac:dyDescent="0.25">
      <c r="A38" t="s">
        <v>56</v>
      </c>
      <c r="B38" t="s">
        <v>55</v>
      </c>
      <c r="C38" t="s">
        <v>53</v>
      </c>
      <c r="D38">
        <v>15</v>
      </c>
      <c r="E38" s="3">
        <v>7</v>
      </c>
      <c r="F38" s="1">
        <v>28.435132649</v>
      </c>
      <c r="G38" s="1">
        <v>-16.340089079999998</v>
      </c>
      <c r="H38" s="1">
        <v>667.76220000000001</v>
      </c>
      <c r="I38">
        <v>616.00909999999999</v>
      </c>
      <c r="J38">
        <v>616.00909999999999</v>
      </c>
      <c r="K38">
        <v>10.8</v>
      </c>
      <c r="L38">
        <v>7.0000000000000007E-2</v>
      </c>
      <c r="M38">
        <v>2.2000000000000001E-3</v>
      </c>
      <c r="N38">
        <v>1.4E-2</v>
      </c>
      <c r="O38">
        <v>0.04</v>
      </c>
      <c r="P38">
        <v>1.2999999999999999E-3</v>
      </c>
      <c r="Q38">
        <v>1.24E-2</v>
      </c>
      <c r="R38" s="1">
        <v>0.36</v>
      </c>
      <c r="S38">
        <v>1.1900000000000001E-2</v>
      </c>
      <c r="T38">
        <v>0.15590000000000001</v>
      </c>
      <c r="U38">
        <v>1</v>
      </c>
    </row>
    <row r="39" spans="1:21" x14ac:dyDescent="0.25">
      <c r="A39" t="s">
        <v>57</v>
      </c>
      <c r="B39" t="s">
        <v>55</v>
      </c>
      <c r="C39" t="s">
        <v>53</v>
      </c>
      <c r="D39">
        <v>15.02</v>
      </c>
      <c r="E39" s="3">
        <v>6</v>
      </c>
      <c r="F39" s="1">
        <v>28.411248198999999</v>
      </c>
      <c r="G39" s="1">
        <v>-16.348041630000001</v>
      </c>
      <c r="H39" s="1">
        <v>535.99869999999999</v>
      </c>
      <c r="I39">
        <v>484.24560000000002</v>
      </c>
      <c r="J39">
        <v>484.24560000000002</v>
      </c>
      <c r="K39">
        <v>12.8</v>
      </c>
      <c r="L39">
        <v>1.1299999999999999</v>
      </c>
      <c r="M39">
        <v>3.7699999999999997E-2</v>
      </c>
      <c r="N39">
        <v>3.7622</v>
      </c>
      <c r="O39">
        <v>3.51</v>
      </c>
      <c r="P39">
        <v>0.1168</v>
      </c>
      <c r="Q39">
        <v>4.9709000000000003</v>
      </c>
      <c r="R39" s="1">
        <v>10.06</v>
      </c>
      <c r="S39">
        <v>0.33489999999999998</v>
      </c>
      <c r="T39">
        <v>1.6952</v>
      </c>
      <c r="U39">
        <v>2</v>
      </c>
    </row>
    <row r="40" spans="1:21" x14ac:dyDescent="0.25">
      <c r="A40" t="s">
        <v>58</v>
      </c>
      <c r="B40" t="s">
        <v>55</v>
      </c>
      <c r="C40" t="s">
        <v>53</v>
      </c>
      <c r="D40">
        <v>15.5</v>
      </c>
      <c r="E40" s="3">
        <v>8.9</v>
      </c>
      <c r="F40" s="1">
        <v>28.404696494</v>
      </c>
      <c r="G40" s="1">
        <v>-16.362761973000001</v>
      </c>
      <c r="H40" s="1">
        <v>525.26769999999999</v>
      </c>
      <c r="I40">
        <v>473.51459999999997</v>
      </c>
      <c r="J40">
        <v>473.51459999999997</v>
      </c>
      <c r="K40">
        <v>14.4</v>
      </c>
      <c r="L40">
        <v>0.04</v>
      </c>
      <c r="M40">
        <v>1.4E-3</v>
      </c>
      <c r="N40">
        <v>2.5000000000000001E-3</v>
      </c>
      <c r="O40">
        <v>0.06</v>
      </c>
      <c r="P40">
        <v>2E-3</v>
      </c>
      <c r="Q40">
        <v>7.0000000000000001E-3</v>
      </c>
      <c r="R40" s="1">
        <v>0.46</v>
      </c>
      <c r="S40">
        <v>1.5100000000000001E-2</v>
      </c>
      <c r="T40">
        <v>8.0799999999999997E-2</v>
      </c>
      <c r="U40">
        <v>1</v>
      </c>
    </row>
    <row r="41" spans="1:21" x14ac:dyDescent="0.25">
      <c r="A41" t="s">
        <v>59</v>
      </c>
      <c r="B41" t="s">
        <v>55</v>
      </c>
      <c r="C41" t="s">
        <v>53</v>
      </c>
      <c r="D41">
        <v>15.02</v>
      </c>
      <c r="E41" s="3">
        <v>7</v>
      </c>
      <c r="F41" s="1">
        <v>28.391231750999999</v>
      </c>
      <c r="G41" s="1">
        <v>-16.391339922</v>
      </c>
      <c r="H41" s="1">
        <v>674.33240000000001</v>
      </c>
      <c r="I41">
        <v>622.57929999999999</v>
      </c>
      <c r="J41">
        <v>622.57929999999999</v>
      </c>
      <c r="K41">
        <v>17.5</v>
      </c>
      <c r="L41">
        <v>1.22</v>
      </c>
      <c r="M41">
        <v>4.0599999999999997E-2</v>
      </c>
      <c r="N41">
        <v>0.2109</v>
      </c>
      <c r="O41">
        <v>2.31</v>
      </c>
      <c r="P41">
        <v>7.6899999999999996E-2</v>
      </c>
      <c r="Q41">
        <v>0.54579999999999995</v>
      </c>
      <c r="R41" s="1">
        <v>2.89</v>
      </c>
      <c r="S41">
        <v>9.6100000000000005E-2</v>
      </c>
      <c r="T41">
        <v>0.60899999999999999</v>
      </c>
      <c r="U41">
        <v>2</v>
      </c>
    </row>
    <row r="42" spans="1:21" x14ac:dyDescent="0.25">
      <c r="A42" t="s">
        <v>60</v>
      </c>
      <c r="B42" t="s">
        <v>55</v>
      </c>
      <c r="C42" t="s">
        <v>53</v>
      </c>
      <c r="D42">
        <v>17.12</v>
      </c>
      <c r="E42" s="3">
        <v>8.4</v>
      </c>
      <c r="F42" s="1">
        <v>28.362955994</v>
      </c>
      <c r="G42" s="1">
        <v>-16.393827350999999</v>
      </c>
      <c r="H42" s="1">
        <v>405.11770000000001</v>
      </c>
      <c r="I42">
        <v>353.3646</v>
      </c>
      <c r="J42">
        <v>353.3646</v>
      </c>
      <c r="K42">
        <v>19.600000000000001</v>
      </c>
      <c r="L42">
        <v>0.49</v>
      </c>
      <c r="M42">
        <v>1.5299999999999999E-2</v>
      </c>
      <c r="N42">
        <v>8.0399999999999999E-2</v>
      </c>
      <c r="O42">
        <v>1.77</v>
      </c>
      <c r="P42">
        <v>5.5300000000000002E-2</v>
      </c>
      <c r="Q42">
        <v>0.51390000000000002</v>
      </c>
      <c r="R42" s="1">
        <v>3.04</v>
      </c>
      <c r="S42">
        <v>9.4700000000000006E-2</v>
      </c>
      <c r="T42">
        <v>0.78039999999999998</v>
      </c>
      <c r="U42">
        <v>2</v>
      </c>
    </row>
    <row r="43" spans="1:21" x14ac:dyDescent="0.25">
      <c r="A43" t="s">
        <v>61</v>
      </c>
      <c r="B43" t="s">
        <v>55</v>
      </c>
      <c r="C43" t="s">
        <v>53</v>
      </c>
      <c r="D43">
        <v>15</v>
      </c>
      <c r="E43" s="3">
        <v>6.7</v>
      </c>
      <c r="F43" s="1">
        <v>28.372737839999999</v>
      </c>
      <c r="G43" s="1">
        <v>-16.407561239</v>
      </c>
      <c r="H43" s="1">
        <v>761.73519999999996</v>
      </c>
      <c r="I43">
        <v>709.98209999999995</v>
      </c>
      <c r="J43">
        <v>709.98209999999995</v>
      </c>
      <c r="K43">
        <v>20</v>
      </c>
      <c r="L43">
        <v>4.68</v>
      </c>
      <c r="M43">
        <v>0.15590000000000001</v>
      </c>
      <c r="N43">
        <v>0.54530000000000001</v>
      </c>
      <c r="O43">
        <v>2.37</v>
      </c>
      <c r="P43">
        <v>7.9200000000000007E-2</v>
      </c>
      <c r="Q43">
        <v>0.22500000000000001</v>
      </c>
      <c r="R43" s="1">
        <v>25.24</v>
      </c>
      <c r="S43">
        <v>0.84140000000000004</v>
      </c>
      <c r="T43">
        <v>1.7074</v>
      </c>
      <c r="U43">
        <v>2</v>
      </c>
    </row>
    <row r="44" spans="1:21" x14ac:dyDescent="0.25">
      <c r="A44" t="s">
        <v>62</v>
      </c>
      <c r="B44" t="s">
        <v>55</v>
      </c>
      <c r="C44" t="s">
        <v>53</v>
      </c>
      <c r="D44">
        <v>15</v>
      </c>
      <c r="E44" s="3">
        <v>6.7</v>
      </c>
      <c r="F44" s="1">
        <v>28.341755668000001</v>
      </c>
      <c r="G44" s="1">
        <v>-16.436769862999999</v>
      </c>
      <c r="H44" s="1">
        <v>842.83519999999999</v>
      </c>
      <c r="I44">
        <v>791.08209999999997</v>
      </c>
      <c r="J44">
        <v>791.08209999999997</v>
      </c>
      <c r="K44">
        <v>24.4</v>
      </c>
      <c r="L44">
        <v>1.27</v>
      </c>
      <c r="M44">
        <v>4.2200000000000001E-2</v>
      </c>
      <c r="N44">
        <v>0.16750000000000001</v>
      </c>
      <c r="O44">
        <v>3.18</v>
      </c>
      <c r="P44">
        <v>0.10580000000000001</v>
      </c>
      <c r="Q44">
        <v>1.1692</v>
      </c>
      <c r="R44" s="1">
        <v>3.88</v>
      </c>
      <c r="S44">
        <v>0.12920000000000001</v>
      </c>
      <c r="T44">
        <v>0.44159999999999999</v>
      </c>
      <c r="U44">
        <v>2</v>
      </c>
    </row>
    <row r="45" spans="1:21" x14ac:dyDescent="0.25">
      <c r="A45" t="s">
        <v>63</v>
      </c>
      <c r="B45" t="s">
        <v>55</v>
      </c>
      <c r="C45" t="s">
        <v>53</v>
      </c>
      <c r="D45">
        <v>15.02</v>
      </c>
      <c r="E45" s="3">
        <v>6.9</v>
      </c>
      <c r="F45" s="1">
        <v>28.334995916</v>
      </c>
      <c r="G45" s="1">
        <v>-16.436308295</v>
      </c>
      <c r="H45" s="1">
        <v>818.92139999999995</v>
      </c>
      <c r="I45">
        <v>767.16830000000004</v>
      </c>
      <c r="J45">
        <v>767.16830000000004</v>
      </c>
      <c r="K45">
        <v>24.8</v>
      </c>
      <c r="L45">
        <v>2.98</v>
      </c>
      <c r="M45">
        <v>9.9099999999999994E-2</v>
      </c>
      <c r="N45">
        <v>0.66859999999999997</v>
      </c>
      <c r="O45">
        <v>15.37</v>
      </c>
      <c r="P45">
        <v>0.51180000000000003</v>
      </c>
      <c r="Q45">
        <v>2.5106000000000002</v>
      </c>
      <c r="R45" s="1">
        <v>27.3</v>
      </c>
      <c r="S45">
        <v>0.90890000000000004</v>
      </c>
      <c r="T45">
        <v>1.8456999999999999</v>
      </c>
      <c r="U45">
        <v>2</v>
      </c>
    </row>
    <row r="46" spans="1:21" x14ac:dyDescent="0.25">
      <c r="A46" t="s">
        <v>64</v>
      </c>
      <c r="B46" t="s">
        <v>55</v>
      </c>
      <c r="C46" t="s">
        <v>53</v>
      </c>
      <c r="D46">
        <v>15</v>
      </c>
      <c r="E46" s="3">
        <v>5.2</v>
      </c>
      <c r="F46" s="1">
        <v>28.33046276</v>
      </c>
      <c r="G46" s="1">
        <v>-16.448135992000001</v>
      </c>
      <c r="H46" s="1">
        <v>1078.7116000000001</v>
      </c>
      <c r="I46">
        <v>1026.9585</v>
      </c>
      <c r="J46">
        <v>1026.9585</v>
      </c>
      <c r="K46">
        <v>26</v>
      </c>
      <c r="L46">
        <v>5.59</v>
      </c>
      <c r="M46">
        <v>0.1862</v>
      </c>
      <c r="N46">
        <v>0.505</v>
      </c>
      <c r="O46">
        <v>2.71</v>
      </c>
      <c r="P46">
        <v>9.01E-2</v>
      </c>
      <c r="Q46">
        <v>0.18540000000000001</v>
      </c>
      <c r="R46" s="1">
        <v>22.23</v>
      </c>
      <c r="S46">
        <v>0.74070000000000003</v>
      </c>
      <c r="T46">
        <v>2.097</v>
      </c>
      <c r="U46">
        <v>2</v>
      </c>
    </row>
    <row r="47" spans="1:21" x14ac:dyDescent="0.25">
      <c r="A47" t="s">
        <v>65</v>
      </c>
      <c r="B47" t="s">
        <v>55</v>
      </c>
      <c r="C47" t="s">
        <v>53</v>
      </c>
      <c r="D47">
        <v>15</v>
      </c>
      <c r="E47" s="3">
        <v>5.9</v>
      </c>
      <c r="F47" s="1">
        <v>28.325995410000001</v>
      </c>
      <c r="G47" s="1">
        <v>-16.458149448</v>
      </c>
      <c r="H47" s="1">
        <v>1391.9313</v>
      </c>
      <c r="I47">
        <v>1340.1782000000001</v>
      </c>
      <c r="J47">
        <v>1340.1782000000001</v>
      </c>
      <c r="K47">
        <v>27</v>
      </c>
      <c r="L47">
        <v>0.92</v>
      </c>
      <c r="M47">
        <v>3.0700000000000002E-2</v>
      </c>
      <c r="N47">
        <v>0.47599999999999998</v>
      </c>
      <c r="O47">
        <v>2.15</v>
      </c>
      <c r="P47">
        <v>7.1499999999999994E-2</v>
      </c>
      <c r="Q47">
        <v>0.15909999999999999</v>
      </c>
      <c r="R47" s="1">
        <v>4.3</v>
      </c>
      <c r="S47">
        <v>0.1431</v>
      </c>
      <c r="T47">
        <v>0.77559999999999996</v>
      </c>
      <c r="U47">
        <v>2</v>
      </c>
    </row>
    <row r="48" spans="1:21" x14ac:dyDescent="0.25">
      <c r="A48" t="s">
        <v>66</v>
      </c>
      <c r="B48" t="s">
        <v>55</v>
      </c>
      <c r="C48" t="s">
        <v>53</v>
      </c>
      <c r="D48">
        <v>15.23</v>
      </c>
      <c r="E48" s="3">
        <v>7.7</v>
      </c>
      <c r="F48" s="1">
        <v>28.328410121000001</v>
      </c>
      <c r="G48" s="1">
        <v>-16.426870641000001</v>
      </c>
      <c r="H48" s="1">
        <v>599.30600000000004</v>
      </c>
      <c r="I48">
        <v>547.55290000000002</v>
      </c>
      <c r="J48">
        <v>547.55290000000002</v>
      </c>
      <c r="K48">
        <v>24.5</v>
      </c>
      <c r="L48">
        <v>3.56</v>
      </c>
      <c r="M48">
        <v>0.1178</v>
      </c>
      <c r="N48">
        <v>0.72950000000000004</v>
      </c>
      <c r="O48">
        <v>8.73</v>
      </c>
      <c r="P48">
        <v>0.28870000000000001</v>
      </c>
      <c r="Q48">
        <v>0.54459999999999997</v>
      </c>
      <c r="R48" s="1">
        <v>41.8</v>
      </c>
      <c r="S48">
        <v>1.3819999999999999</v>
      </c>
      <c r="T48">
        <v>8.1419999999999995</v>
      </c>
      <c r="U48">
        <v>2</v>
      </c>
    </row>
    <row r="49" spans="1:21" x14ac:dyDescent="0.25">
      <c r="A49" t="s">
        <v>67</v>
      </c>
      <c r="B49" t="s">
        <v>68</v>
      </c>
      <c r="C49" t="s">
        <v>20</v>
      </c>
      <c r="D49">
        <v>15.08</v>
      </c>
      <c r="E49" s="3">
        <v>7</v>
      </c>
      <c r="F49" s="1">
        <v>28.304769368999999</v>
      </c>
      <c r="G49" s="1">
        <v>-16.501544243000001</v>
      </c>
      <c r="H49" s="1">
        <v>2380.9378999999999</v>
      </c>
      <c r="I49">
        <v>-36.466500000000003</v>
      </c>
      <c r="J49">
        <v>36.466500000000003</v>
      </c>
      <c r="K49">
        <v>0.4</v>
      </c>
      <c r="L49">
        <v>0.06</v>
      </c>
      <c r="M49">
        <v>1.8E-3</v>
      </c>
      <c r="N49">
        <v>4.1999999999999997E-3</v>
      </c>
      <c r="O49">
        <v>0.05</v>
      </c>
      <c r="P49">
        <v>1.8E-3</v>
      </c>
      <c r="Q49">
        <v>1.18E-2</v>
      </c>
      <c r="R49" s="1">
        <v>0.26</v>
      </c>
      <c r="S49">
        <v>8.6999999999999994E-3</v>
      </c>
      <c r="T49">
        <v>3.44E-2</v>
      </c>
      <c r="U49">
        <v>1</v>
      </c>
    </row>
    <row r="50" spans="1:21" x14ac:dyDescent="0.25">
      <c r="A50" t="s">
        <v>69</v>
      </c>
      <c r="B50" t="s">
        <v>68</v>
      </c>
      <c r="C50" t="s">
        <v>20</v>
      </c>
      <c r="D50">
        <v>15</v>
      </c>
      <c r="E50" s="3">
        <v>6</v>
      </c>
      <c r="F50" s="1">
        <v>28.302652601999998</v>
      </c>
      <c r="G50" s="1">
        <v>-16.492932345</v>
      </c>
      <c r="H50" s="1">
        <v>2301.9061000000002</v>
      </c>
      <c r="I50">
        <v>-115.4983</v>
      </c>
      <c r="J50">
        <v>115.4983</v>
      </c>
      <c r="K50">
        <v>0.8</v>
      </c>
      <c r="L50">
        <v>0.13</v>
      </c>
      <c r="M50">
        <v>4.1999999999999997E-3</v>
      </c>
      <c r="N50">
        <v>3.0599999999999999E-2</v>
      </c>
      <c r="O50">
        <v>0.05</v>
      </c>
      <c r="P50">
        <v>1.6000000000000001E-3</v>
      </c>
      <c r="Q50">
        <v>1.6E-2</v>
      </c>
      <c r="R50" s="1">
        <v>1.4</v>
      </c>
      <c r="S50">
        <v>4.6699999999999998E-2</v>
      </c>
      <c r="T50">
        <v>0.55510000000000004</v>
      </c>
      <c r="U50">
        <v>1</v>
      </c>
    </row>
    <row r="51" spans="1:21" x14ac:dyDescent="0.25">
      <c r="A51" t="s">
        <v>70</v>
      </c>
      <c r="B51" t="s">
        <v>68</v>
      </c>
      <c r="C51" t="s">
        <v>20</v>
      </c>
      <c r="D51">
        <v>15.17</v>
      </c>
      <c r="E51" s="3">
        <v>6</v>
      </c>
      <c r="F51" s="1">
        <v>28.29914265</v>
      </c>
      <c r="G51" s="1">
        <v>-16.489642480000001</v>
      </c>
      <c r="H51" s="1">
        <v>2188.9511000000002</v>
      </c>
      <c r="I51">
        <v>-228.45330000000001</v>
      </c>
      <c r="J51">
        <v>228.45330000000001</v>
      </c>
      <c r="K51">
        <v>1.4</v>
      </c>
      <c r="L51">
        <v>0.06</v>
      </c>
      <c r="M51">
        <v>1.9E-3</v>
      </c>
      <c r="N51">
        <v>2.1899999999999999E-2</v>
      </c>
      <c r="O51">
        <v>0.2</v>
      </c>
      <c r="P51">
        <v>6.7000000000000002E-3</v>
      </c>
      <c r="Q51">
        <v>9.6000000000000002E-2</v>
      </c>
      <c r="R51" s="1">
        <v>2.41</v>
      </c>
      <c r="S51">
        <v>7.9799999999999996E-2</v>
      </c>
      <c r="T51">
        <v>0.81020000000000003</v>
      </c>
      <c r="U51">
        <v>1</v>
      </c>
    </row>
    <row r="52" spans="1:21" x14ac:dyDescent="0.25">
      <c r="A52" t="s">
        <v>71</v>
      </c>
      <c r="B52" t="s">
        <v>68</v>
      </c>
      <c r="C52" t="s">
        <v>20</v>
      </c>
      <c r="D52">
        <v>19.5</v>
      </c>
      <c r="E52" s="3">
        <v>6.9</v>
      </c>
      <c r="F52" s="1">
        <v>28.299018412999999</v>
      </c>
      <c r="G52" s="1">
        <v>-16.474408548</v>
      </c>
      <c r="H52" s="1">
        <v>1948.0342000000001</v>
      </c>
      <c r="I52">
        <v>-469.37020000000001</v>
      </c>
      <c r="J52">
        <v>469.37020000000001</v>
      </c>
      <c r="K52">
        <v>2.7</v>
      </c>
      <c r="L52">
        <v>0.14000000000000001</v>
      </c>
      <c r="M52">
        <v>4.1999999999999997E-3</v>
      </c>
      <c r="N52">
        <v>8.0699999999999994E-2</v>
      </c>
      <c r="O52">
        <v>0.08</v>
      </c>
      <c r="P52">
        <v>2.3E-3</v>
      </c>
      <c r="Q52">
        <v>1.9400000000000001E-2</v>
      </c>
      <c r="R52" s="1">
        <v>1.18</v>
      </c>
      <c r="S52">
        <v>3.4299999999999997E-2</v>
      </c>
      <c r="T52">
        <v>0.87090000000000001</v>
      </c>
      <c r="U52">
        <v>1</v>
      </c>
    </row>
    <row r="53" spans="1:21" x14ac:dyDescent="0.25">
      <c r="A53" t="s">
        <v>72</v>
      </c>
      <c r="B53" t="s">
        <v>68</v>
      </c>
      <c r="C53" t="s">
        <v>20</v>
      </c>
      <c r="D53">
        <v>14.98</v>
      </c>
      <c r="E53" s="3">
        <v>7.5</v>
      </c>
      <c r="F53" s="1">
        <v>28.296927125</v>
      </c>
      <c r="G53" s="1">
        <v>-16.460068420999999</v>
      </c>
      <c r="H53" s="1">
        <v>1698.6020000000001</v>
      </c>
      <c r="I53">
        <v>-718.80240000000003</v>
      </c>
      <c r="J53">
        <v>718.80240000000003</v>
      </c>
      <c r="K53">
        <v>4</v>
      </c>
      <c r="L53">
        <v>0.77</v>
      </c>
      <c r="M53">
        <v>2.5700000000000001E-2</v>
      </c>
      <c r="N53">
        <v>1.26E-2</v>
      </c>
      <c r="O53">
        <v>1.2</v>
      </c>
      <c r="P53">
        <v>4.0099999999999997E-2</v>
      </c>
      <c r="Q53">
        <v>0.21429999999999999</v>
      </c>
      <c r="R53" s="1">
        <v>7.1</v>
      </c>
      <c r="S53">
        <v>0.23680000000000001</v>
      </c>
      <c r="T53">
        <v>2.7677</v>
      </c>
      <c r="U53">
        <v>2</v>
      </c>
    </row>
    <row r="54" spans="1:21" x14ac:dyDescent="0.25">
      <c r="A54" t="s">
        <v>73</v>
      </c>
      <c r="B54" t="s">
        <v>68</v>
      </c>
      <c r="C54" t="s">
        <v>20</v>
      </c>
      <c r="D54">
        <v>15.07</v>
      </c>
      <c r="E54" s="3">
        <v>8.4</v>
      </c>
      <c r="F54" s="1">
        <v>28.294206589000002</v>
      </c>
      <c r="G54" s="1">
        <v>-16.447599523000001</v>
      </c>
      <c r="H54" s="1">
        <v>1446.5934</v>
      </c>
      <c r="I54">
        <v>-970.81100000000004</v>
      </c>
      <c r="J54">
        <v>970.81100000000004</v>
      </c>
      <c r="K54">
        <v>5.3</v>
      </c>
      <c r="L54">
        <v>1.1200000000000001</v>
      </c>
      <c r="M54">
        <v>3.7100000000000001E-2</v>
      </c>
      <c r="N54">
        <v>0.13059999999999999</v>
      </c>
      <c r="O54">
        <v>0.86</v>
      </c>
      <c r="P54">
        <v>2.87E-2</v>
      </c>
      <c r="Q54">
        <v>0.19289999999999999</v>
      </c>
      <c r="R54" s="1">
        <v>5.4</v>
      </c>
      <c r="S54">
        <v>0.17949999999999999</v>
      </c>
      <c r="T54">
        <v>2.6772999999999998</v>
      </c>
      <c r="U54">
        <v>2</v>
      </c>
    </row>
    <row r="55" spans="1:21" x14ac:dyDescent="0.25">
      <c r="A55" t="s">
        <v>74</v>
      </c>
      <c r="B55" t="s">
        <v>68</v>
      </c>
      <c r="C55" t="s">
        <v>20</v>
      </c>
      <c r="D55">
        <v>15.02</v>
      </c>
      <c r="E55" s="3">
        <v>9</v>
      </c>
      <c r="F55" s="1">
        <v>28.292891543</v>
      </c>
      <c r="G55" s="1">
        <v>-16.432250120999999</v>
      </c>
      <c r="H55" s="1">
        <v>1119.6539</v>
      </c>
      <c r="I55">
        <v>-1297.7505000000001</v>
      </c>
      <c r="J55">
        <v>1297.7505000000001</v>
      </c>
      <c r="K55">
        <v>6.8</v>
      </c>
      <c r="L55">
        <v>0.05</v>
      </c>
      <c r="M55">
        <v>1.6000000000000001E-3</v>
      </c>
      <c r="N55">
        <v>2E-3</v>
      </c>
      <c r="O55">
        <v>0.03</v>
      </c>
      <c r="P55">
        <v>8.0000000000000004E-4</v>
      </c>
      <c r="Q55">
        <v>3.5999999999999999E-3</v>
      </c>
      <c r="R55" s="1">
        <v>0.56999999999999995</v>
      </c>
      <c r="S55">
        <v>1.89E-2</v>
      </c>
      <c r="T55">
        <v>0.15640000000000001</v>
      </c>
      <c r="U55">
        <v>1</v>
      </c>
    </row>
    <row r="56" spans="1:21" x14ac:dyDescent="0.25">
      <c r="A56" t="s">
        <v>75</v>
      </c>
      <c r="B56" t="s">
        <v>76</v>
      </c>
      <c r="C56" t="s">
        <v>20</v>
      </c>
      <c r="D56">
        <v>14.98</v>
      </c>
      <c r="E56" s="3">
        <v>7.8</v>
      </c>
      <c r="F56" s="1">
        <v>28.314157742999999</v>
      </c>
      <c r="G56" s="1">
        <v>-16.495699597000002</v>
      </c>
      <c r="H56" s="1">
        <v>2228.2114999999999</v>
      </c>
      <c r="I56">
        <v>-189.19290000000001</v>
      </c>
      <c r="J56">
        <v>189.19290000000001</v>
      </c>
      <c r="K56">
        <v>0.8</v>
      </c>
      <c r="L56">
        <v>1.82</v>
      </c>
      <c r="M56">
        <v>6.0499999999999998E-2</v>
      </c>
      <c r="N56">
        <v>0.73470000000000002</v>
      </c>
      <c r="O56">
        <v>3.94</v>
      </c>
      <c r="P56">
        <v>0.1313</v>
      </c>
      <c r="Q56">
        <v>1.3672</v>
      </c>
      <c r="R56" s="1">
        <v>10.5</v>
      </c>
      <c r="S56">
        <v>0.35</v>
      </c>
      <c r="T56">
        <v>3.1113</v>
      </c>
      <c r="U56">
        <v>2</v>
      </c>
    </row>
    <row r="57" spans="1:21" x14ac:dyDescent="0.25">
      <c r="A57" t="s">
        <v>77</v>
      </c>
      <c r="B57" t="s">
        <v>76</v>
      </c>
      <c r="C57" t="s">
        <v>20</v>
      </c>
      <c r="D57">
        <v>15</v>
      </c>
      <c r="E57" s="3">
        <v>7.1</v>
      </c>
      <c r="F57" s="1">
        <v>28.316327876999999</v>
      </c>
      <c r="G57" s="1">
        <v>-16.472389233000001</v>
      </c>
      <c r="H57" s="1">
        <v>1719.4983</v>
      </c>
      <c r="I57">
        <v>-697.90610000000004</v>
      </c>
      <c r="J57">
        <v>697.90610000000004</v>
      </c>
      <c r="K57">
        <v>2.9</v>
      </c>
      <c r="L57">
        <v>0.73</v>
      </c>
      <c r="M57">
        <v>2.4400000000000002E-2</v>
      </c>
      <c r="N57">
        <v>1.6899999999999998E-2</v>
      </c>
      <c r="O57">
        <v>0.49</v>
      </c>
      <c r="P57">
        <v>1.6400000000000001E-2</v>
      </c>
      <c r="Q57">
        <v>0.24329999999999999</v>
      </c>
      <c r="R57" s="1">
        <v>8.32</v>
      </c>
      <c r="S57">
        <v>0.27710000000000001</v>
      </c>
      <c r="T57">
        <v>2.9198</v>
      </c>
      <c r="U57">
        <v>1</v>
      </c>
    </row>
    <row r="58" spans="1:21" x14ac:dyDescent="0.25">
      <c r="A58" t="s">
        <v>78</v>
      </c>
      <c r="B58" t="s">
        <v>76</v>
      </c>
      <c r="C58" t="s">
        <v>20</v>
      </c>
      <c r="D58">
        <v>15.02</v>
      </c>
      <c r="E58" s="3">
        <v>6.7</v>
      </c>
      <c r="F58" s="1">
        <v>28.312409114000001</v>
      </c>
      <c r="G58" s="1">
        <v>-16.480176814</v>
      </c>
      <c r="H58" s="1">
        <v>1837.4177</v>
      </c>
      <c r="I58">
        <v>-579.98670000000004</v>
      </c>
      <c r="J58">
        <v>579.98670000000004</v>
      </c>
      <c r="K58">
        <v>2.1</v>
      </c>
      <c r="L58">
        <v>0.44</v>
      </c>
      <c r="M58">
        <v>1.4800000000000001E-2</v>
      </c>
      <c r="N58">
        <v>8.4400000000000003E-2</v>
      </c>
      <c r="O58">
        <v>0.28999999999999998</v>
      </c>
      <c r="P58">
        <v>9.7999999999999997E-3</v>
      </c>
      <c r="Q58">
        <v>4.9599999999999998E-2</v>
      </c>
      <c r="R58" s="1">
        <v>15.81</v>
      </c>
      <c r="S58">
        <v>0.52649999999999997</v>
      </c>
      <c r="T58">
        <v>3.7986</v>
      </c>
      <c r="U58">
        <v>1</v>
      </c>
    </row>
    <row r="59" spans="1:21" x14ac:dyDescent="0.25">
      <c r="A59" t="s">
        <v>79</v>
      </c>
      <c r="B59" t="s">
        <v>76</v>
      </c>
      <c r="C59" t="s">
        <v>20</v>
      </c>
      <c r="D59">
        <v>14.98</v>
      </c>
      <c r="E59" s="3">
        <v>7.4</v>
      </c>
      <c r="F59" s="1">
        <v>28.314641180999999</v>
      </c>
      <c r="G59" s="1">
        <v>-16.487162945000001</v>
      </c>
      <c r="H59" s="1">
        <v>1996.1881000000001</v>
      </c>
      <c r="I59">
        <v>-421.21629999999999</v>
      </c>
      <c r="J59">
        <v>421.21629999999999</v>
      </c>
      <c r="K59">
        <v>1.5</v>
      </c>
      <c r="L59">
        <v>0.09</v>
      </c>
      <c r="M59">
        <v>3.0999999999999999E-3</v>
      </c>
      <c r="N59">
        <v>2.5999999999999999E-2</v>
      </c>
      <c r="O59">
        <v>0.35</v>
      </c>
      <c r="P59">
        <v>1.1599999999999999E-2</v>
      </c>
      <c r="Q59">
        <v>0.19650000000000001</v>
      </c>
      <c r="R59" s="1">
        <v>2.31</v>
      </c>
      <c r="S59">
        <v>7.7100000000000002E-2</v>
      </c>
      <c r="T59">
        <v>0.81030000000000002</v>
      </c>
      <c r="U59">
        <v>1</v>
      </c>
    </row>
    <row r="60" spans="1:21" x14ac:dyDescent="0.25">
      <c r="A60" t="s">
        <v>80</v>
      </c>
      <c r="B60" t="s">
        <v>76</v>
      </c>
      <c r="C60" t="s">
        <v>20</v>
      </c>
      <c r="D60">
        <v>15</v>
      </c>
      <c r="E60" s="3">
        <v>8.8000000000000007</v>
      </c>
      <c r="F60" s="1">
        <v>28.323690811999999</v>
      </c>
      <c r="G60" s="1">
        <v>-16.484730479</v>
      </c>
      <c r="H60" s="1">
        <v>2093.4427999999998</v>
      </c>
      <c r="I60">
        <v>-323.96159999999998</v>
      </c>
      <c r="J60">
        <v>323.96159999999998</v>
      </c>
      <c r="K60">
        <v>2.2999999999999998</v>
      </c>
      <c r="L60">
        <v>0.44</v>
      </c>
      <c r="M60">
        <v>1.46E-2</v>
      </c>
      <c r="N60">
        <v>6.25E-2</v>
      </c>
      <c r="O60">
        <v>1.07</v>
      </c>
      <c r="P60">
        <v>3.5499999999999997E-2</v>
      </c>
      <c r="Q60">
        <v>0.1197</v>
      </c>
      <c r="R60" s="1">
        <v>3.68</v>
      </c>
      <c r="S60">
        <v>0.1225</v>
      </c>
      <c r="T60">
        <v>1.0407</v>
      </c>
      <c r="U60">
        <v>2</v>
      </c>
    </row>
    <row r="61" spans="1:21" x14ac:dyDescent="0.25">
      <c r="A61" t="s">
        <v>128</v>
      </c>
      <c r="B61" t="s">
        <v>81</v>
      </c>
      <c r="C61" t="s">
        <v>53</v>
      </c>
      <c r="D61">
        <v>42.27</v>
      </c>
      <c r="E61" s="3">
        <v>5.8</v>
      </c>
      <c r="F61" s="1">
        <v>28.479557598</v>
      </c>
      <c r="G61" s="1">
        <v>-16.320381751999999</v>
      </c>
      <c r="H61" s="1">
        <v>607.71050000000002</v>
      </c>
      <c r="I61">
        <v>555.95740000000001</v>
      </c>
      <c r="J61">
        <v>555.95740000000001</v>
      </c>
      <c r="K61">
        <v>7.8</v>
      </c>
      <c r="L61">
        <v>1.99</v>
      </c>
      <c r="M61">
        <v>3.9399999999999998E-2</v>
      </c>
      <c r="N61">
        <v>0.63300000000000001</v>
      </c>
      <c r="O61">
        <v>1.29</v>
      </c>
      <c r="P61">
        <v>2.5600000000000001E-2</v>
      </c>
      <c r="Q61">
        <v>3.4299999999999997E-2</v>
      </c>
      <c r="R61" s="1">
        <v>6.53</v>
      </c>
      <c r="S61">
        <v>0.12970000000000001</v>
      </c>
      <c r="T61">
        <v>0.49390000000000001</v>
      </c>
      <c r="U61">
        <v>2</v>
      </c>
    </row>
    <row r="62" spans="1:21" x14ac:dyDescent="0.25">
      <c r="A62" t="s">
        <v>82</v>
      </c>
      <c r="B62" t="s">
        <v>19</v>
      </c>
      <c r="C62" t="s">
        <v>20</v>
      </c>
      <c r="D62">
        <v>43.13</v>
      </c>
      <c r="E62" s="3">
        <v>7</v>
      </c>
      <c r="F62" s="1">
        <v>28.292096410999999</v>
      </c>
      <c r="G62" s="1">
        <v>-16.539706158000001</v>
      </c>
      <c r="H62" s="1">
        <v>2334.4456</v>
      </c>
      <c r="I62">
        <v>-82.958799999999997</v>
      </c>
      <c r="J62">
        <v>82.958799999999997</v>
      </c>
      <c r="K62">
        <v>4.3</v>
      </c>
      <c r="L62">
        <v>0.09</v>
      </c>
      <c r="M62">
        <v>1.8E-3</v>
      </c>
      <c r="N62">
        <v>8.6E-3</v>
      </c>
      <c r="O62">
        <v>0.1</v>
      </c>
      <c r="P62">
        <v>1.9E-3</v>
      </c>
      <c r="Q62">
        <v>2.7300000000000001E-2</v>
      </c>
      <c r="R62" s="1">
        <v>0.35</v>
      </c>
      <c r="S62">
        <v>6.8999999999999999E-3</v>
      </c>
      <c r="T62">
        <v>6.6500000000000004E-2</v>
      </c>
      <c r="U62">
        <v>1</v>
      </c>
    </row>
    <row r="63" spans="1:21" x14ac:dyDescent="0.25">
      <c r="A63" t="s">
        <v>83</v>
      </c>
      <c r="B63" t="s">
        <v>19</v>
      </c>
      <c r="C63" t="s">
        <v>20</v>
      </c>
      <c r="D63">
        <v>31.98</v>
      </c>
      <c r="E63" s="3">
        <v>6.6</v>
      </c>
      <c r="F63" s="1">
        <v>28.28821323</v>
      </c>
      <c r="G63" s="1">
        <v>-16.539958013</v>
      </c>
      <c r="H63" s="1">
        <v>2349.5781999999999</v>
      </c>
      <c r="I63">
        <v>-67.8262</v>
      </c>
      <c r="J63">
        <v>67.8262</v>
      </c>
      <c r="K63">
        <v>4.5</v>
      </c>
      <c r="L63">
        <v>0.42</v>
      </c>
      <c r="M63">
        <v>9.5999999999999992E-3</v>
      </c>
      <c r="N63">
        <v>0.13200000000000001</v>
      </c>
      <c r="O63">
        <v>0.52</v>
      </c>
      <c r="P63">
        <v>1.1900000000000001E-2</v>
      </c>
      <c r="Q63">
        <v>0.1673</v>
      </c>
      <c r="R63" s="1">
        <v>1.1599999999999999</v>
      </c>
      <c r="S63">
        <v>2.6599999999999999E-2</v>
      </c>
      <c r="T63">
        <v>8.1799999999999998E-2</v>
      </c>
      <c r="U63">
        <v>2</v>
      </c>
    </row>
    <row r="64" spans="1:21" x14ac:dyDescent="0.25">
      <c r="A64" t="s">
        <v>84</v>
      </c>
      <c r="B64" t="s">
        <v>19</v>
      </c>
      <c r="C64" t="s">
        <v>20</v>
      </c>
      <c r="D64">
        <v>40.98</v>
      </c>
      <c r="E64" s="3">
        <v>8.6999999999999993</v>
      </c>
      <c r="F64" s="1">
        <v>28.289387819000002</v>
      </c>
      <c r="G64" s="1">
        <v>-16.542121186999999</v>
      </c>
      <c r="H64" s="1">
        <v>2336.9749000000002</v>
      </c>
      <c r="I64">
        <v>-80.429500000000004</v>
      </c>
      <c r="J64">
        <v>80.429500000000004</v>
      </c>
      <c r="K64">
        <v>4.5999999999999996</v>
      </c>
      <c r="L64">
        <v>0.11</v>
      </c>
      <c r="M64">
        <v>2.2000000000000001E-3</v>
      </c>
      <c r="N64">
        <v>2.6100000000000002E-2</v>
      </c>
      <c r="O64">
        <v>0.12</v>
      </c>
      <c r="P64">
        <v>2.5000000000000001E-3</v>
      </c>
      <c r="Q64">
        <v>6.3899999999999998E-2</v>
      </c>
      <c r="R64" s="1">
        <v>1.05</v>
      </c>
      <c r="S64">
        <v>2.12E-2</v>
      </c>
      <c r="T64">
        <v>0.39779999999999999</v>
      </c>
      <c r="U64">
        <v>1</v>
      </c>
    </row>
    <row r="65" spans="1:21" x14ac:dyDescent="0.25">
      <c r="A65" t="s">
        <v>85</v>
      </c>
      <c r="B65" t="s">
        <v>19</v>
      </c>
      <c r="C65" t="s">
        <v>20</v>
      </c>
      <c r="D65">
        <v>44.47</v>
      </c>
      <c r="E65" s="3">
        <v>8.4</v>
      </c>
      <c r="F65" s="1">
        <v>28.289437255999999</v>
      </c>
      <c r="G65" s="1">
        <v>-16.546427368</v>
      </c>
      <c r="H65" s="1">
        <v>2334.4915000000001</v>
      </c>
      <c r="I65">
        <v>-82.912899999999993</v>
      </c>
      <c r="J65">
        <v>82.912899999999993</v>
      </c>
      <c r="K65">
        <v>5</v>
      </c>
      <c r="L65">
        <v>0.8</v>
      </c>
      <c r="M65">
        <v>1.54E-2</v>
      </c>
      <c r="N65">
        <v>0.29759999999999998</v>
      </c>
      <c r="O65">
        <v>0.35</v>
      </c>
      <c r="P65">
        <v>6.7999999999999996E-3</v>
      </c>
      <c r="Q65">
        <v>0.22969999999999999</v>
      </c>
      <c r="R65" s="1">
        <v>3.89</v>
      </c>
      <c r="S65">
        <v>7.5300000000000006E-2</v>
      </c>
      <c r="T65">
        <v>1.4738</v>
      </c>
      <c r="U65">
        <v>1</v>
      </c>
    </row>
    <row r="66" spans="1:21" x14ac:dyDescent="0.25">
      <c r="A66" t="s">
        <v>86</v>
      </c>
      <c r="B66" t="s">
        <v>19</v>
      </c>
      <c r="C66" t="s">
        <v>20</v>
      </c>
      <c r="D66">
        <v>15.02</v>
      </c>
      <c r="E66" s="3">
        <v>8</v>
      </c>
      <c r="F66" s="1">
        <v>28.287120441999999</v>
      </c>
      <c r="G66" s="1">
        <v>-16.538030663000001</v>
      </c>
      <c r="H66" s="1">
        <v>2360.8991999999998</v>
      </c>
      <c r="I66">
        <v>-56.505200000000002</v>
      </c>
      <c r="J66">
        <v>56.505200000000002</v>
      </c>
      <c r="K66">
        <v>4.4000000000000004</v>
      </c>
      <c r="L66">
        <v>0.06</v>
      </c>
      <c r="M66">
        <v>2.0999999999999999E-3</v>
      </c>
      <c r="N66">
        <v>2.8000000000000001E-2</v>
      </c>
      <c r="O66">
        <v>0.05</v>
      </c>
      <c r="P66">
        <v>1.6000000000000001E-3</v>
      </c>
      <c r="Q66">
        <v>2.3699999999999999E-2</v>
      </c>
      <c r="R66" s="1">
        <v>0.74</v>
      </c>
      <c r="S66">
        <v>2.47E-2</v>
      </c>
      <c r="T66">
        <v>0.26979999999999998</v>
      </c>
      <c r="U66">
        <v>1</v>
      </c>
    </row>
    <row r="67" spans="1:21" x14ac:dyDescent="0.25">
      <c r="A67" t="s">
        <v>87</v>
      </c>
      <c r="B67" t="s">
        <v>88</v>
      </c>
      <c r="C67" t="s">
        <v>20</v>
      </c>
      <c r="D67">
        <v>20.82</v>
      </c>
      <c r="E67" s="3">
        <v>6.5</v>
      </c>
      <c r="F67" s="1">
        <v>28.292546272999999</v>
      </c>
      <c r="G67" s="1">
        <v>-16.545474209000002</v>
      </c>
      <c r="H67" s="1">
        <v>2329.6835000000001</v>
      </c>
      <c r="I67">
        <v>-87.7209</v>
      </c>
      <c r="J67">
        <v>87.7209</v>
      </c>
      <c r="K67">
        <v>4.8</v>
      </c>
      <c r="L67">
        <v>0.76</v>
      </c>
      <c r="M67">
        <v>2.1499999999999998E-2</v>
      </c>
      <c r="N67">
        <v>0.1018</v>
      </c>
      <c r="O67">
        <v>0.84</v>
      </c>
      <c r="P67">
        <v>2.3800000000000002E-2</v>
      </c>
      <c r="Q67">
        <v>5.5500000000000001E-2</v>
      </c>
      <c r="R67" s="1">
        <v>1.96</v>
      </c>
      <c r="S67">
        <v>5.5300000000000002E-2</v>
      </c>
      <c r="T67">
        <v>0.21390000000000001</v>
      </c>
      <c r="U67">
        <v>2</v>
      </c>
    </row>
    <row r="68" spans="1:21" x14ac:dyDescent="0.25">
      <c r="A68" t="s">
        <v>89</v>
      </c>
      <c r="B68" t="s">
        <v>88</v>
      </c>
      <c r="C68" t="s">
        <v>20</v>
      </c>
      <c r="D68">
        <v>26.03</v>
      </c>
      <c r="E68" s="3">
        <v>6</v>
      </c>
      <c r="F68" s="1">
        <v>28.292573373</v>
      </c>
      <c r="G68" s="1">
        <v>-16.544962375000001</v>
      </c>
      <c r="H68" s="1">
        <v>2329.1694000000002</v>
      </c>
      <c r="I68">
        <v>-88.234999999999999</v>
      </c>
      <c r="J68">
        <v>88.234999999999999</v>
      </c>
      <c r="K68">
        <v>4.8</v>
      </c>
      <c r="L68">
        <v>0.64</v>
      </c>
      <c r="M68">
        <v>1.6299999999999999E-2</v>
      </c>
      <c r="N68">
        <v>0.157</v>
      </c>
      <c r="O68">
        <v>0.4</v>
      </c>
      <c r="P68">
        <v>1.0200000000000001E-2</v>
      </c>
      <c r="Q68">
        <v>0.1714</v>
      </c>
      <c r="R68" s="1">
        <v>1.7</v>
      </c>
      <c r="S68">
        <v>4.2900000000000001E-2</v>
      </c>
      <c r="T68">
        <v>0.38540000000000002</v>
      </c>
      <c r="U68">
        <v>2</v>
      </c>
    </row>
    <row r="69" spans="1:21" x14ac:dyDescent="0.25">
      <c r="A69" t="s">
        <v>90</v>
      </c>
      <c r="B69" t="s">
        <v>88</v>
      </c>
      <c r="C69" t="s">
        <v>20</v>
      </c>
      <c r="D69">
        <v>25.82</v>
      </c>
      <c r="E69" s="3">
        <v>6.8</v>
      </c>
      <c r="F69" s="1">
        <v>28.292656601000001</v>
      </c>
      <c r="G69" s="1">
        <v>-16.544447682000001</v>
      </c>
      <c r="H69" s="1">
        <v>2329.4436999999998</v>
      </c>
      <c r="I69">
        <v>-87.960700000000003</v>
      </c>
      <c r="J69">
        <v>87.960700000000003</v>
      </c>
      <c r="K69">
        <v>4.7</v>
      </c>
      <c r="L69">
        <v>1.02</v>
      </c>
      <c r="M69">
        <v>2.5899999999999999E-2</v>
      </c>
      <c r="N69">
        <v>7.0599999999999996E-2</v>
      </c>
      <c r="O69">
        <v>2.62</v>
      </c>
      <c r="P69">
        <v>6.6600000000000006E-2</v>
      </c>
      <c r="Q69">
        <v>6.5199999999999994E-2</v>
      </c>
      <c r="R69" s="1">
        <v>4.79</v>
      </c>
      <c r="S69">
        <v>0.1217</v>
      </c>
      <c r="T69">
        <v>4.5999999999999999E-3</v>
      </c>
      <c r="U69">
        <v>1</v>
      </c>
    </row>
    <row r="70" spans="1:21" x14ac:dyDescent="0.25">
      <c r="A70" t="s">
        <v>91</v>
      </c>
      <c r="B70" t="s">
        <v>88</v>
      </c>
      <c r="C70" t="s">
        <v>20</v>
      </c>
      <c r="D70">
        <v>40.97</v>
      </c>
      <c r="E70" s="3">
        <v>8</v>
      </c>
      <c r="F70" s="1">
        <v>28.292738561</v>
      </c>
      <c r="G70" s="1">
        <v>-16.543950655</v>
      </c>
      <c r="H70" s="1">
        <v>2329.6925000000001</v>
      </c>
      <c r="I70">
        <v>-87.7119</v>
      </c>
      <c r="J70">
        <v>87.7119</v>
      </c>
      <c r="K70">
        <v>4.7</v>
      </c>
      <c r="L70">
        <v>0.18</v>
      </c>
      <c r="M70">
        <v>3.7000000000000002E-3</v>
      </c>
      <c r="N70">
        <v>7.2700000000000001E-2</v>
      </c>
      <c r="O70">
        <v>0.05</v>
      </c>
      <c r="P70">
        <v>1E-3</v>
      </c>
      <c r="Q70">
        <v>2.7099999999999999E-2</v>
      </c>
      <c r="R70" s="1">
        <v>0.73</v>
      </c>
      <c r="S70">
        <v>1.4800000000000001E-2</v>
      </c>
      <c r="T70">
        <v>0.16869999999999999</v>
      </c>
      <c r="U70">
        <v>1</v>
      </c>
    </row>
    <row r="71" spans="1:21" x14ac:dyDescent="0.25">
      <c r="A71" t="s">
        <v>92</v>
      </c>
      <c r="B71" t="s">
        <v>88</v>
      </c>
      <c r="C71" t="s">
        <v>20</v>
      </c>
      <c r="D71">
        <v>46.73</v>
      </c>
      <c r="E71" s="3">
        <v>9.1</v>
      </c>
      <c r="F71" s="1">
        <v>28.292825320999999</v>
      </c>
      <c r="G71" s="1">
        <v>-16.543456171999999</v>
      </c>
      <c r="H71" s="1">
        <v>2330.1468</v>
      </c>
      <c r="I71">
        <v>-87.257599999999996</v>
      </c>
      <c r="J71">
        <v>87.257599999999996</v>
      </c>
      <c r="K71">
        <v>4.5999999999999996</v>
      </c>
      <c r="L71">
        <v>0.43</v>
      </c>
      <c r="M71">
        <v>8.2000000000000007E-3</v>
      </c>
      <c r="N71">
        <v>5.7200000000000001E-2</v>
      </c>
      <c r="O71">
        <v>0.62</v>
      </c>
      <c r="P71">
        <v>1.17E-2</v>
      </c>
      <c r="Q71">
        <v>0.36649999999999999</v>
      </c>
      <c r="R71" s="1">
        <v>2.91</v>
      </c>
      <c r="S71">
        <v>5.4899999999999997E-2</v>
      </c>
      <c r="T71">
        <v>0.5847</v>
      </c>
      <c r="U71">
        <v>1</v>
      </c>
    </row>
    <row r="72" spans="1:21" x14ac:dyDescent="0.25">
      <c r="A72" t="s">
        <v>93</v>
      </c>
      <c r="B72" t="s">
        <v>88</v>
      </c>
      <c r="C72" t="s">
        <v>20</v>
      </c>
      <c r="D72">
        <v>73.52</v>
      </c>
      <c r="E72" s="3">
        <v>8.8000000000000007</v>
      </c>
      <c r="F72" s="1">
        <v>28.292999810000001</v>
      </c>
      <c r="G72" s="1">
        <v>-16.542957611999999</v>
      </c>
      <c r="H72" s="1">
        <v>2331.2055999999998</v>
      </c>
      <c r="I72">
        <v>-86.198800000000006</v>
      </c>
      <c r="J72">
        <v>86.198800000000006</v>
      </c>
      <c r="K72">
        <v>4.5999999999999996</v>
      </c>
      <c r="L72">
        <v>0.15</v>
      </c>
      <c r="M72">
        <v>2.2000000000000001E-3</v>
      </c>
      <c r="N72">
        <v>4.2900000000000001E-2</v>
      </c>
      <c r="O72">
        <v>0.08</v>
      </c>
      <c r="P72">
        <v>1.1000000000000001E-3</v>
      </c>
      <c r="Q72">
        <v>1.5699999999999999E-2</v>
      </c>
      <c r="R72" s="1">
        <v>0.85</v>
      </c>
      <c r="S72">
        <v>1.2800000000000001E-2</v>
      </c>
      <c r="T72">
        <v>0.11550000000000001</v>
      </c>
      <c r="U72">
        <v>1</v>
      </c>
    </row>
    <row r="73" spans="1:21" x14ac:dyDescent="0.25">
      <c r="A73" t="s">
        <v>94</v>
      </c>
      <c r="B73" t="s">
        <v>95</v>
      </c>
      <c r="C73" t="s">
        <v>20</v>
      </c>
      <c r="D73">
        <v>50</v>
      </c>
      <c r="E73" s="3">
        <v>6.4</v>
      </c>
      <c r="F73" s="1">
        <v>28.293073015000001</v>
      </c>
      <c r="G73" s="1">
        <v>-16.542444969999998</v>
      </c>
      <c r="H73" s="1">
        <v>2332.0551</v>
      </c>
      <c r="I73">
        <v>-85.349299999999999</v>
      </c>
      <c r="J73">
        <v>85.349299999999999</v>
      </c>
      <c r="K73">
        <v>4.5</v>
      </c>
      <c r="L73">
        <v>1.22</v>
      </c>
      <c r="M73">
        <v>2.23E-2</v>
      </c>
      <c r="N73">
        <v>0.54700000000000004</v>
      </c>
      <c r="O73">
        <v>0.79</v>
      </c>
      <c r="P73">
        <v>1.44E-2</v>
      </c>
      <c r="Q73">
        <v>0.2341</v>
      </c>
      <c r="R73" s="1">
        <v>4.46</v>
      </c>
      <c r="S73">
        <v>8.1500000000000003E-2</v>
      </c>
      <c r="T73">
        <v>4.24E-2</v>
      </c>
      <c r="U73">
        <v>1</v>
      </c>
    </row>
    <row r="74" spans="1:21" x14ac:dyDescent="0.25">
      <c r="A74" t="s">
        <v>96</v>
      </c>
      <c r="B74" t="s">
        <v>95</v>
      </c>
      <c r="C74" t="s">
        <v>20</v>
      </c>
      <c r="D74">
        <v>49.98</v>
      </c>
      <c r="E74" s="3">
        <v>6.9</v>
      </c>
      <c r="F74" s="1">
        <v>28.293160315000002</v>
      </c>
      <c r="G74" s="1">
        <v>-16.541948012999999</v>
      </c>
      <c r="H74" s="1">
        <v>2332.2188999999998</v>
      </c>
      <c r="I74">
        <v>-85.185500000000005</v>
      </c>
      <c r="J74">
        <v>85.185500000000005</v>
      </c>
      <c r="K74">
        <v>4.5</v>
      </c>
      <c r="L74">
        <v>0.08</v>
      </c>
      <c r="M74">
        <v>1.5E-3</v>
      </c>
      <c r="N74">
        <v>1.8100000000000002E-2</v>
      </c>
      <c r="O74">
        <v>0.17</v>
      </c>
      <c r="P74">
        <v>3.0999999999999999E-3</v>
      </c>
      <c r="Q74">
        <v>5.2699999999999997E-2</v>
      </c>
      <c r="R74" s="1">
        <v>1.1299999999999999</v>
      </c>
      <c r="S74">
        <v>2.07E-2</v>
      </c>
      <c r="T74">
        <v>0.15609999999999999</v>
      </c>
      <c r="U74">
        <v>1</v>
      </c>
    </row>
    <row r="75" spans="1:21" x14ac:dyDescent="0.25">
      <c r="A75" t="s">
        <v>97</v>
      </c>
      <c r="B75" t="s">
        <v>95</v>
      </c>
      <c r="C75" t="s">
        <v>20</v>
      </c>
      <c r="D75">
        <v>52.87</v>
      </c>
      <c r="E75" s="3">
        <v>8.1999999999999993</v>
      </c>
      <c r="F75" s="1">
        <v>28.293270658000001</v>
      </c>
      <c r="G75" s="1">
        <v>-16.541458013</v>
      </c>
      <c r="H75" s="1">
        <v>2332.8883999999998</v>
      </c>
      <c r="I75">
        <v>-84.516000000000005</v>
      </c>
      <c r="J75">
        <v>84.516000000000005</v>
      </c>
      <c r="K75">
        <v>4.4000000000000004</v>
      </c>
      <c r="L75">
        <v>0.12</v>
      </c>
      <c r="M75">
        <v>2.2000000000000001E-3</v>
      </c>
      <c r="N75">
        <v>9.7000000000000003E-3</v>
      </c>
      <c r="O75">
        <v>0.12</v>
      </c>
      <c r="P75">
        <v>2.0999999999999999E-3</v>
      </c>
      <c r="Q75">
        <v>3.27E-2</v>
      </c>
      <c r="R75" s="1">
        <v>1.18</v>
      </c>
      <c r="S75">
        <v>2.1000000000000001E-2</v>
      </c>
      <c r="T75">
        <v>0.33710000000000001</v>
      </c>
      <c r="U75">
        <v>1</v>
      </c>
    </row>
    <row r="76" spans="1:21" x14ac:dyDescent="0.25">
      <c r="A76" t="s">
        <v>98</v>
      </c>
      <c r="B76" t="s">
        <v>95</v>
      </c>
      <c r="C76" t="s">
        <v>20</v>
      </c>
      <c r="D76">
        <v>50</v>
      </c>
      <c r="E76" s="3">
        <v>9.5</v>
      </c>
      <c r="F76" s="1">
        <v>28.293390706</v>
      </c>
      <c r="G76" s="1">
        <v>-16.540967172999999</v>
      </c>
      <c r="H76" s="1">
        <v>2332.7707</v>
      </c>
      <c r="I76">
        <v>-84.633700000000005</v>
      </c>
      <c r="J76">
        <v>84.633700000000005</v>
      </c>
      <c r="K76">
        <v>4.4000000000000004</v>
      </c>
      <c r="L76">
        <v>0.11</v>
      </c>
      <c r="M76">
        <v>2E-3</v>
      </c>
      <c r="N76">
        <v>4.1099999999999998E-2</v>
      </c>
      <c r="O76">
        <v>0.03</v>
      </c>
      <c r="P76">
        <v>5.9999999999999995E-4</v>
      </c>
      <c r="Q76">
        <v>5.1000000000000004E-3</v>
      </c>
      <c r="R76" s="1">
        <v>0.77</v>
      </c>
      <c r="S76">
        <v>1.41E-2</v>
      </c>
      <c r="T76">
        <v>0.1386</v>
      </c>
      <c r="U76">
        <v>1</v>
      </c>
    </row>
    <row r="77" spans="1:21" x14ac:dyDescent="0.25">
      <c r="A77" t="s">
        <v>99</v>
      </c>
      <c r="B77" t="s">
        <v>95</v>
      </c>
      <c r="C77" t="s">
        <v>20</v>
      </c>
      <c r="D77">
        <v>77.17</v>
      </c>
      <c r="E77" s="3">
        <v>8</v>
      </c>
      <c r="F77" s="1">
        <v>28.293510359999999</v>
      </c>
      <c r="G77" s="1">
        <v>-16.540477983999999</v>
      </c>
      <c r="H77" s="1">
        <v>2333.2784000000001</v>
      </c>
      <c r="I77">
        <v>-84.126000000000005</v>
      </c>
      <c r="J77">
        <v>84.126000000000005</v>
      </c>
      <c r="K77">
        <v>4.3</v>
      </c>
      <c r="L77">
        <v>0.14000000000000001</v>
      </c>
      <c r="M77">
        <v>2.0999999999999999E-3</v>
      </c>
      <c r="N77">
        <v>1.2999999999999999E-3</v>
      </c>
      <c r="O77">
        <v>0.09</v>
      </c>
      <c r="P77">
        <v>1.2999999999999999E-3</v>
      </c>
      <c r="Q77">
        <v>5.1000000000000004E-3</v>
      </c>
      <c r="R77" s="1">
        <v>0.87</v>
      </c>
      <c r="S77">
        <v>1.2800000000000001E-2</v>
      </c>
      <c r="T77">
        <v>9.1399999999999995E-2</v>
      </c>
      <c r="U77">
        <v>1</v>
      </c>
    </row>
    <row r="78" spans="1:21" x14ac:dyDescent="0.25">
      <c r="A78" t="s">
        <v>100</v>
      </c>
      <c r="B78" t="s">
        <v>101</v>
      </c>
      <c r="C78" t="s">
        <v>102</v>
      </c>
      <c r="D78">
        <v>15</v>
      </c>
      <c r="E78" s="3">
        <v>7</v>
      </c>
      <c r="F78" s="1">
        <v>28.470663422000001</v>
      </c>
      <c r="G78" s="1">
        <v>-16.378623014999999</v>
      </c>
      <c r="H78" s="1">
        <v>808.21230000000003</v>
      </c>
      <c r="I78">
        <v>753.79780000000005</v>
      </c>
      <c r="J78">
        <v>753.79780000000005</v>
      </c>
      <c r="K78">
        <v>17.899999999999999</v>
      </c>
      <c r="L78">
        <v>1.29</v>
      </c>
      <c r="M78">
        <v>4.2999999999999997E-2</v>
      </c>
      <c r="N78">
        <v>0.10580000000000001</v>
      </c>
      <c r="O78">
        <v>3.5</v>
      </c>
      <c r="P78">
        <v>0.1166</v>
      </c>
      <c r="Q78">
        <v>0.68130000000000002</v>
      </c>
      <c r="R78" s="1">
        <v>9.91</v>
      </c>
      <c r="S78">
        <v>0.33019999999999999</v>
      </c>
      <c r="T78">
        <v>1.5302</v>
      </c>
      <c r="U78">
        <v>2</v>
      </c>
    </row>
    <row r="79" spans="1:21" x14ac:dyDescent="0.25">
      <c r="A79" t="s">
        <v>103</v>
      </c>
      <c r="B79" t="s">
        <v>101</v>
      </c>
      <c r="C79" t="s">
        <v>102</v>
      </c>
      <c r="D79">
        <v>14.98</v>
      </c>
      <c r="E79" s="3">
        <v>6.4</v>
      </c>
      <c r="F79" s="1">
        <v>28.458339203000001</v>
      </c>
      <c r="G79" s="1">
        <v>-16.393913547</v>
      </c>
      <c r="H79" s="1">
        <v>954.86210000000005</v>
      </c>
      <c r="I79">
        <v>900.44759999999997</v>
      </c>
      <c r="J79">
        <v>900.44759999999997</v>
      </c>
      <c r="K79">
        <v>16</v>
      </c>
      <c r="L79">
        <v>0.71</v>
      </c>
      <c r="M79">
        <v>2.3800000000000002E-2</v>
      </c>
      <c r="N79">
        <v>1.9599999999999999E-2</v>
      </c>
      <c r="O79">
        <v>3.21</v>
      </c>
      <c r="P79">
        <v>0.1072</v>
      </c>
      <c r="Q79">
        <v>7.4300000000000005E-2</v>
      </c>
      <c r="R79" s="1">
        <v>7.14</v>
      </c>
      <c r="S79">
        <v>0.23810000000000001</v>
      </c>
      <c r="T79">
        <v>1.0177</v>
      </c>
      <c r="U79">
        <v>2</v>
      </c>
    </row>
    <row r="80" spans="1:21" x14ac:dyDescent="0.25">
      <c r="A80" t="s">
        <v>104</v>
      </c>
      <c r="B80" t="s">
        <v>101</v>
      </c>
      <c r="C80" t="s">
        <v>102</v>
      </c>
      <c r="D80">
        <v>15</v>
      </c>
      <c r="E80" s="3">
        <v>6</v>
      </c>
      <c r="F80" s="1">
        <v>28.460504231000002</v>
      </c>
      <c r="G80" s="1">
        <v>-16.419612498999999</v>
      </c>
      <c r="H80" s="1">
        <v>812.32709999999997</v>
      </c>
      <c r="I80">
        <v>757.9126</v>
      </c>
      <c r="J80">
        <v>757.9126</v>
      </c>
      <c r="K80">
        <v>13.7</v>
      </c>
      <c r="L80">
        <v>1.18</v>
      </c>
      <c r="M80">
        <v>3.9300000000000002E-2</v>
      </c>
      <c r="N80">
        <v>0.1953</v>
      </c>
      <c r="O80">
        <v>1.57</v>
      </c>
      <c r="P80">
        <v>5.2299999999999999E-2</v>
      </c>
      <c r="Q80">
        <v>0.47789999999999999</v>
      </c>
      <c r="R80" s="1">
        <v>5.76</v>
      </c>
      <c r="S80">
        <v>0.192</v>
      </c>
      <c r="T80">
        <v>0.4012</v>
      </c>
      <c r="U80">
        <v>2</v>
      </c>
    </row>
    <row r="81" spans="1:21" x14ac:dyDescent="0.25">
      <c r="A81" t="s">
        <v>105</v>
      </c>
      <c r="B81" t="s">
        <v>101</v>
      </c>
      <c r="C81" t="s">
        <v>102</v>
      </c>
      <c r="D81">
        <v>15</v>
      </c>
      <c r="E81" s="3">
        <v>7.4</v>
      </c>
      <c r="F81" s="1">
        <v>28.447945333</v>
      </c>
      <c r="G81" s="1">
        <v>-16.419758300000002</v>
      </c>
      <c r="H81" s="1">
        <v>949.10810000000004</v>
      </c>
      <c r="I81">
        <v>894.69359999999995</v>
      </c>
      <c r="J81">
        <v>894.69359999999995</v>
      </c>
      <c r="K81">
        <v>13.3</v>
      </c>
      <c r="L81">
        <v>1.29</v>
      </c>
      <c r="M81">
        <v>4.2900000000000001E-2</v>
      </c>
      <c r="N81">
        <v>0.58789999999999998</v>
      </c>
      <c r="O81">
        <v>4.33</v>
      </c>
      <c r="P81">
        <v>0.14410000000000001</v>
      </c>
      <c r="Q81">
        <v>0.72599999999999998</v>
      </c>
      <c r="R81" s="1">
        <v>5.74</v>
      </c>
      <c r="S81">
        <v>0.1913</v>
      </c>
      <c r="T81">
        <v>0.94950000000000001</v>
      </c>
      <c r="U81">
        <v>2</v>
      </c>
    </row>
    <row r="82" spans="1:21" x14ac:dyDescent="0.25">
      <c r="A82" t="s">
        <v>106</v>
      </c>
      <c r="B82" t="s">
        <v>101</v>
      </c>
      <c r="C82" t="s">
        <v>102</v>
      </c>
      <c r="D82">
        <v>15.08</v>
      </c>
      <c r="E82" s="3">
        <v>8.1999999999999993</v>
      </c>
      <c r="F82" s="1">
        <v>28.439650238999999</v>
      </c>
      <c r="G82" s="1">
        <v>-16.430834149999999</v>
      </c>
      <c r="H82" s="1">
        <v>953.93240000000003</v>
      </c>
      <c r="I82">
        <v>899.51790000000005</v>
      </c>
      <c r="J82">
        <v>899.51790000000005</v>
      </c>
      <c r="K82">
        <v>12</v>
      </c>
      <c r="L82">
        <v>1.31</v>
      </c>
      <c r="M82">
        <v>4.36E-2</v>
      </c>
      <c r="N82">
        <v>0.2082</v>
      </c>
      <c r="O82">
        <v>2.75</v>
      </c>
      <c r="P82">
        <v>9.1399999999999995E-2</v>
      </c>
      <c r="Q82">
        <v>7.1300000000000002E-2</v>
      </c>
      <c r="R82" s="1">
        <v>6.49</v>
      </c>
      <c r="S82">
        <v>0.2155</v>
      </c>
      <c r="T82">
        <v>2.7864</v>
      </c>
      <c r="U82">
        <v>2</v>
      </c>
    </row>
    <row r="83" spans="1:21" x14ac:dyDescent="0.25">
      <c r="A83" t="s">
        <v>107</v>
      </c>
      <c r="B83" t="s">
        <v>101</v>
      </c>
      <c r="C83" t="s">
        <v>102</v>
      </c>
      <c r="D83">
        <v>14.98</v>
      </c>
      <c r="E83" s="3">
        <v>7.9</v>
      </c>
      <c r="F83" s="1">
        <v>28.45049732</v>
      </c>
      <c r="G83" s="1">
        <v>-16.44162601</v>
      </c>
      <c r="H83" s="1">
        <v>650.23099999999999</v>
      </c>
      <c r="I83">
        <v>595.81650000000002</v>
      </c>
      <c r="J83">
        <v>595.81650000000002</v>
      </c>
      <c r="K83">
        <v>11.3</v>
      </c>
      <c r="L83">
        <v>3.12</v>
      </c>
      <c r="M83">
        <v>0.10390000000000001</v>
      </c>
      <c r="N83">
        <v>0.17230000000000001</v>
      </c>
      <c r="O83">
        <v>1.52</v>
      </c>
      <c r="P83">
        <v>5.0700000000000002E-2</v>
      </c>
      <c r="Q83">
        <v>0.68889999999999996</v>
      </c>
      <c r="R83" s="1">
        <v>8.16</v>
      </c>
      <c r="S83">
        <v>0.27210000000000001</v>
      </c>
      <c r="T83">
        <v>0.17119999999999999</v>
      </c>
      <c r="U83">
        <v>2</v>
      </c>
    </row>
    <row r="84" spans="1:21" x14ac:dyDescent="0.25">
      <c r="A84" t="s">
        <v>108</v>
      </c>
      <c r="B84" t="s">
        <v>101</v>
      </c>
      <c r="C84" t="s">
        <v>102</v>
      </c>
      <c r="D84">
        <v>15</v>
      </c>
      <c r="E84" s="3">
        <v>8.9</v>
      </c>
      <c r="F84" s="1">
        <v>28.438748973999999</v>
      </c>
      <c r="G84" s="1">
        <v>-16.451380974999999</v>
      </c>
      <c r="H84" s="1">
        <v>630.05200000000002</v>
      </c>
      <c r="I84">
        <v>575.63750000000005</v>
      </c>
      <c r="J84">
        <v>575.63750000000005</v>
      </c>
      <c r="K84">
        <v>10</v>
      </c>
      <c r="L84">
        <v>0.12</v>
      </c>
      <c r="M84">
        <v>4.1000000000000003E-3</v>
      </c>
      <c r="N84">
        <v>2.1499999999999998E-2</v>
      </c>
      <c r="O84">
        <v>0.05</v>
      </c>
      <c r="P84">
        <v>1.8E-3</v>
      </c>
      <c r="Q84">
        <v>5.4000000000000003E-3</v>
      </c>
      <c r="R84" s="1">
        <v>1.01</v>
      </c>
      <c r="S84">
        <v>3.3500000000000002E-2</v>
      </c>
      <c r="T84">
        <v>4.4999999999999997E-3</v>
      </c>
      <c r="U84">
        <v>1</v>
      </c>
    </row>
    <row r="85" spans="1:21" x14ac:dyDescent="0.25">
      <c r="A85" t="s">
        <v>109</v>
      </c>
      <c r="B85" t="s">
        <v>101</v>
      </c>
      <c r="C85" t="s">
        <v>102</v>
      </c>
      <c r="D85">
        <v>15</v>
      </c>
      <c r="E85" s="3">
        <v>7.5</v>
      </c>
      <c r="F85" s="1">
        <v>28.423218404</v>
      </c>
      <c r="G85" s="1">
        <v>-16.455611793999999</v>
      </c>
      <c r="H85" s="1">
        <v>735.61609999999996</v>
      </c>
      <c r="I85">
        <v>681.20159999999998</v>
      </c>
      <c r="J85">
        <v>681.20159999999998</v>
      </c>
      <c r="K85">
        <v>9.4</v>
      </c>
      <c r="L85">
        <v>0.15</v>
      </c>
      <c r="M85">
        <v>5.0000000000000001E-3</v>
      </c>
      <c r="N85">
        <v>7.7000000000000002E-3</v>
      </c>
      <c r="O85">
        <v>0.11</v>
      </c>
      <c r="P85">
        <v>3.5999999999999999E-3</v>
      </c>
      <c r="Q85">
        <v>7.4000000000000003E-3</v>
      </c>
      <c r="R85" s="1">
        <v>1.36</v>
      </c>
      <c r="S85">
        <v>4.53E-2</v>
      </c>
      <c r="T85">
        <v>5.8299999999999998E-2</v>
      </c>
      <c r="U85">
        <v>1</v>
      </c>
    </row>
    <row r="86" spans="1:21" x14ac:dyDescent="0.25">
      <c r="A86" t="s">
        <v>129</v>
      </c>
      <c r="B86" t="s">
        <v>101</v>
      </c>
      <c r="C86" t="s">
        <v>102</v>
      </c>
      <c r="D86">
        <v>68.3</v>
      </c>
      <c r="E86" s="3">
        <v>6.4</v>
      </c>
      <c r="F86" s="1">
        <v>28.415477625000001</v>
      </c>
      <c r="G86" s="1">
        <v>-16.476430607000001</v>
      </c>
      <c r="H86" s="1">
        <v>655.65470000000005</v>
      </c>
      <c r="I86">
        <v>601.24019999999996</v>
      </c>
      <c r="J86">
        <v>601.24019999999996</v>
      </c>
      <c r="K86">
        <v>7.3</v>
      </c>
      <c r="L86">
        <v>0.95</v>
      </c>
      <c r="M86">
        <v>1.4800000000000001E-2</v>
      </c>
      <c r="N86">
        <v>0.77980000000000005</v>
      </c>
      <c r="O86">
        <v>3.45</v>
      </c>
      <c r="P86">
        <v>5.3800000000000001E-2</v>
      </c>
      <c r="Q86">
        <v>0.38629999999999998</v>
      </c>
      <c r="R86" s="1">
        <v>6.95</v>
      </c>
      <c r="S86">
        <v>0.1086</v>
      </c>
      <c r="T86">
        <v>3.0527000000000002</v>
      </c>
      <c r="U86">
        <v>1</v>
      </c>
    </row>
    <row r="87" spans="1:21" x14ac:dyDescent="0.25">
      <c r="A87" t="s">
        <v>110</v>
      </c>
      <c r="B87" t="s">
        <v>111</v>
      </c>
      <c r="C87" t="s">
        <v>102</v>
      </c>
      <c r="D87">
        <v>16.55</v>
      </c>
      <c r="E87" s="3">
        <v>6.5</v>
      </c>
      <c r="F87" s="1">
        <v>28.410823291</v>
      </c>
      <c r="G87" s="1">
        <v>-16.545241374</v>
      </c>
      <c r="H87" s="1">
        <v>132.38079999999999</v>
      </c>
      <c r="I87">
        <v>77.966300000000004</v>
      </c>
      <c r="J87">
        <v>77.966300000000004</v>
      </c>
      <c r="K87">
        <v>1</v>
      </c>
      <c r="L87">
        <v>0.28000000000000003</v>
      </c>
      <c r="M87">
        <v>8.8999999999999999E-3</v>
      </c>
      <c r="N87">
        <v>3.95E-2</v>
      </c>
      <c r="O87">
        <v>0.1</v>
      </c>
      <c r="P87">
        <v>3.2000000000000002E-3</v>
      </c>
      <c r="Q87">
        <v>7.6E-3</v>
      </c>
      <c r="R87" s="1">
        <v>2.99</v>
      </c>
      <c r="S87">
        <v>9.4799999999999995E-2</v>
      </c>
      <c r="T87">
        <v>8.8999999999999996E-2</v>
      </c>
      <c r="U87">
        <v>1</v>
      </c>
    </row>
    <row r="88" spans="1:21" x14ac:dyDescent="0.25">
      <c r="A88" t="s">
        <v>112</v>
      </c>
      <c r="B88" t="s">
        <v>111</v>
      </c>
      <c r="C88" t="s">
        <v>102</v>
      </c>
      <c r="D88">
        <v>15.23</v>
      </c>
      <c r="E88" s="3">
        <v>6.5</v>
      </c>
      <c r="F88" s="1">
        <v>28.415368124</v>
      </c>
      <c r="G88" s="1">
        <v>-16.516605285000001</v>
      </c>
      <c r="H88" s="1">
        <v>157.55719999999999</v>
      </c>
      <c r="I88">
        <v>103.1427</v>
      </c>
      <c r="J88">
        <v>103.1427</v>
      </c>
      <c r="K88">
        <v>3.4</v>
      </c>
      <c r="L88">
        <v>0.98</v>
      </c>
      <c r="M88">
        <v>3.2399999999999998E-2</v>
      </c>
      <c r="N88">
        <v>0.28029999999999999</v>
      </c>
      <c r="O88">
        <v>2.48</v>
      </c>
      <c r="P88">
        <v>8.1900000000000001E-2</v>
      </c>
      <c r="Q88">
        <v>5.0808999999999997</v>
      </c>
      <c r="R88" s="1">
        <v>19.87</v>
      </c>
      <c r="S88">
        <v>0.65669999999999995</v>
      </c>
      <c r="T88">
        <v>0.33479999999999999</v>
      </c>
      <c r="U88">
        <v>2</v>
      </c>
    </row>
    <row r="89" spans="1:21" x14ac:dyDescent="0.25">
      <c r="A89" t="s">
        <v>113</v>
      </c>
      <c r="B89" t="s">
        <v>111</v>
      </c>
      <c r="C89" t="s">
        <v>102</v>
      </c>
      <c r="D89">
        <v>15.77</v>
      </c>
      <c r="E89" s="3">
        <v>6.7</v>
      </c>
      <c r="F89" s="1">
        <v>28.404622261</v>
      </c>
      <c r="G89" s="1">
        <v>-16.514081140999998</v>
      </c>
      <c r="H89" s="1">
        <v>275.40159999999997</v>
      </c>
      <c r="I89">
        <v>220.9871</v>
      </c>
      <c r="J89">
        <v>220.9871</v>
      </c>
      <c r="K89">
        <v>3.9</v>
      </c>
      <c r="L89">
        <v>1.2</v>
      </c>
      <c r="M89">
        <v>3.8899999999999997E-2</v>
      </c>
      <c r="N89">
        <v>1.1336999999999999</v>
      </c>
      <c r="O89">
        <v>5.08</v>
      </c>
      <c r="P89">
        <v>0.1651</v>
      </c>
      <c r="Q89">
        <v>13.732799999999999</v>
      </c>
      <c r="R89" s="1">
        <v>6.06</v>
      </c>
      <c r="S89">
        <v>0.1968</v>
      </c>
      <c r="T89">
        <v>4.0208000000000004</v>
      </c>
      <c r="U89">
        <v>2</v>
      </c>
    </row>
    <row r="90" spans="1:21" x14ac:dyDescent="0.25">
      <c r="A90" t="s">
        <v>114</v>
      </c>
      <c r="B90" t="s">
        <v>111</v>
      </c>
      <c r="C90" t="s">
        <v>102</v>
      </c>
      <c r="D90">
        <v>15.37</v>
      </c>
      <c r="E90" s="3">
        <v>7</v>
      </c>
      <c r="F90" s="1">
        <v>28.402941726000002</v>
      </c>
      <c r="G90" s="1">
        <v>-16.501034013999998</v>
      </c>
      <c r="H90" s="1">
        <v>626.6807</v>
      </c>
      <c r="I90">
        <v>572.26620000000003</v>
      </c>
      <c r="J90">
        <v>572.26620000000003</v>
      </c>
      <c r="K90">
        <v>5.2</v>
      </c>
      <c r="L90">
        <v>1.36</v>
      </c>
      <c r="M90">
        <v>4.4600000000000001E-2</v>
      </c>
      <c r="N90">
        <v>2.7799999999999998E-2</v>
      </c>
      <c r="O90">
        <v>1.21</v>
      </c>
      <c r="P90">
        <v>3.9899999999999998E-2</v>
      </c>
      <c r="Q90">
        <v>8.7999999999999995E-2</v>
      </c>
      <c r="R90" s="1">
        <v>6.55</v>
      </c>
      <c r="S90">
        <v>0.21560000000000001</v>
      </c>
      <c r="T90">
        <v>0.33629999999999999</v>
      </c>
      <c r="U90">
        <v>1</v>
      </c>
    </row>
    <row r="91" spans="1:21" x14ac:dyDescent="0.25">
      <c r="A91" t="s">
        <v>115</v>
      </c>
      <c r="B91" t="s">
        <v>111</v>
      </c>
      <c r="C91" t="s">
        <v>102</v>
      </c>
      <c r="D91">
        <v>16.07</v>
      </c>
      <c r="E91" s="3">
        <v>5.3</v>
      </c>
      <c r="F91" s="1">
        <v>28.378929761999999</v>
      </c>
      <c r="G91" s="1">
        <v>-16.499699579000001</v>
      </c>
      <c r="H91" s="1">
        <v>798.30550000000005</v>
      </c>
      <c r="I91">
        <v>743.89099999999996</v>
      </c>
      <c r="J91">
        <v>743.89099999999996</v>
      </c>
      <c r="K91">
        <v>6.7</v>
      </c>
      <c r="L91">
        <v>0.97</v>
      </c>
      <c r="M91">
        <v>3.1199999999999999E-2</v>
      </c>
      <c r="N91">
        <v>0.13819999999999999</v>
      </c>
      <c r="O91">
        <v>1.03</v>
      </c>
      <c r="P91">
        <v>3.32E-2</v>
      </c>
      <c r="Q91">
        <v>3.5200000000000002E-2</v>
      </c>
      <c r="R91" s="1">
        <v>14.41</v>
      </c>
      <c r="S91">
        <v>0.4637</v>
      </c>
      <c r="T91">
        <v>4.0846</v>
      </c>
      <c r="U91">
        <v>2</v>
      </c>
    </row>
    <row r="92" spans="1:21" x14ac:dyDescent="0.25">
      <c r="A92" t="s">
        <v>116</v>
      </c>
      <c r="B92" t="s">
        <v>111</v>
      </c>
      <c r="C92" t="s">
        <v>102</v>
      </c>
      <c r="D92">
        <v>17.03</v>
      </c>
      <c r="E92" s="3">
        <v>5.3</v>
      </c>
      <c r="F92" s="1">
        <v>28.381335082</v>
      </c>
      <c r="G92" s="1">
        <v>-16.532591232000001</v>
      </c>
      <c r="H92" s="1">
        <v>463.04320000000001</v>
      </c>
      <c r="I92">
        <v>408.62869999999998</v>
      </c>
      <c r="J92">
        <v>408.62869999999998</v>
      </c>
      <c r="K92">
        <v>4.5</v>
      </c>
      <c r="L92">
        <v>0.54</v>
      </c>
      <c r="M92">
        <v>1.6899999999999998E-2</v>
      </c>
      <c r="N92">
        <v>2.3999999999999998E-3</v>
      </c>
      <c r="O92">
        <v>1.57</v>
      </c>
      <c r="P92">
        <v>4.9099999999999998E-2</v>
      </c>
      <c r="Q92">
        <v>4.2595000000000001</v>
      </c>
      <c r="R92" s="1">
        <v>6.73</v>
      </c>
      <c r="S92">
        <v>0.2104</v>
      </c>
      <c r="T92">
        <v>0.52890000000000004</v>
      </c>
      <c r="U92">
        <v>2</v>
      </c>
    </row>
    <row r="93" spans="1:21" x14ac:dyDescent="0.25">
      <c r="A93" t="s">
        <v>117</v>
      </c>
      <c r="B93" t="s">
        <v>111</v>
      </c>
      <c r="C93" t="s">
        <v>102</v>
      </c>
      <c r="D93">
        <v>15.1</v>
      </c>
      <c r="E93" s="3">
        <v>4</v>
      </c>
      <c r="F93" s="1">
        <v>28.388417392000001</v>
      </c>
      <c r="G93" s="1">
        <v>-16.540544538999999</v>
      </c>
      <c r="H93" s="1">
        <v>335.42419999999998</v>
      </c>
      <c r="I93">
        <v>281.00970000000001</v>
      </c>
      <c r="J93">
        <v>281.00970000000001</v>
      </c>
      <c r="K93">
        <v>3.5</v>
      </c>
      <c r="L93">
        <v>0.79</v>
      </c>
      <c r="M93">
        <v>2.63E-2</v>
      </c>
      <c r="N93">
        <v>1.6500000000000001E-2</v>
      </c>
      <c r="O93">
        <v>1.0900000000000001</v>
      </c>
      <c r="P93">
        <v>3.6200000000000003E-2</v>
      </c>
      <c r="Q93">
        <v>0.1018</v>
      </c>
      <c r="R93" s="1">
        <v>25.54</v>
      </c>
      <c r="S93">
        <v>0.84789999999999999</v>
      </c>
      <c r="T93">
        <v>7.0411999999999999</v>
      </c>
      <c r="U93">
        <v>1</v>
      </c>
    </row>
    <row r="94" spans="1:21" x14ac:dyDescent="0.25">
      <c r="A94" t="s">
        <v>118</v>
      </c>
      <c r="B94" t="s">
        <v>111</v>
      </c>
      <c r="C94" t="s">
        <v>102</v>
      </c>
      <c r="D94">
        <v>15.5</v>
      </c>
      <c r="E94" s="3">
        <v>6.3</v>
      </c>
      <c r="F94" s="1">
        <v>28.406020365</v>
      </c>
      <c r="G94" s="1">
        <v>-16.531432332000001</v>
      </c>
      <c r="H94" s="1">
        <v>214.15620000000001</v>
      </c>
      <c r="I94">
        <v>159.74170000000001</v>
      </c>
      <c r="J94">
        <v>159.74170000000001</v>
      </c>
      <c r="K94">
        <v>2.2999999999999998</v>
      </c>
      <c r="L94">
        <v>0.46</v>
      </c>
      <c r="M94">
        <v>1.5100000000000001E-2</v>
      </c>
      <c r="N94">
        <v>0.1113</v>
      </c>
      <c r="O94">
        <v>0.39</v>
      </c>
      <c r="P94">
        <v>1.29E-2</v>
      </c>
      <c r="Q94">
        <v>2.5600000000000001E-2</v>
      </c>
      <c r="R94" s="1">
        <v>1.22</v>
      </c>
      <c r="S94">
        <v>0.04</v>
      </c>
      <c r="T94">
        <v>0.32900000000000001</v>
      </c>
      <c r="U94">
        <v>1</v>
      </c>
    </row>
    <row r="95" spans="1:21" x14ac:dyDescent="0.25">
      <c r="A95" t="s">
        <v>119</v>
      </c>
      <c r="B95" t="s">
        <v>111</v>
      </c>
      <c r="C95" t="s">
        <v>102</v>
      </c>
      <c r="D95">
        <v>15.02</v>
      </c>
      <c r="E95" s="3">
        <v>7</v>
      </c>
      <c r="F95" s="1">
        <v>28.415259233</v>
      </c>
      <c r="G95" s="1">
        <v>-16.528655902000001</v>
      </c>
      <c r="H95" s="1">
        <v>127.1123</v>
      </c>
      <c r="I95">
        <v>72.697800000000001</v>
      </c>
      <c r="J95">
        <v>72.697800000000001</v>
      </c>
      <c r="K95">
        <v>2.2000000000000002</v>
      </c>
      <c r="L95">
        <v>0.3</v>
      </c>
      <c r="M95">
        <v>1.01E-2</v>
      </c>
      <c r="N95">
        <v>5.2400000000000002E-2</v>
      </c>
      <c r="O95">
        <v>0.73</v>
      </c>
      <c r="P95">
        <v>2.41E-2</v>
      </c>
      <c r="Q95">
        <v>0.1467</v>
      </c>
      <c r="R95" s="1">
        <v>1.98</v>
      </c>
      <c r="S95">
        <v>6.59E-2</v>
      </c>
      <c r="T95">
        <v>0.48470000000000002</v>
      </c>
      <c r="U95">
        <v>1</v>
      </c>
    </row>
    <row r="98" spans="17:18" x14ac:dyDescent="0.25">
      <c r="Q98" s="6" t="s">
        <v>131</v>
      </c>
      <c r="R98" s="1">
        <f>_xlfn.QUARTILE.INC(R2:R95,0)</f>
        <v>0.2</v>
      </c>
    </row>
    <row r="99" spans="17:18" x14ac:dyDescent="0.25">
      <c r="Q99" s="7">
        <v>0.25</v>
      </c>
      <c r="R99" s="1">
        <f>_xlfn.QUARTILE.INC(R2:R95,1)</f>
        <v>1.06</v>
      </c>
    </row>
    <row r="100" spans="17:18" x14ac:dyDescent="0.25">
      <c r="Q100" s="7" t="s">
        <v>134</v>
      </c>
      <c r="R100" s="4">
        <f>_xlfn.QUARTILE.INC(R2:R95,2)</f>
        <v>2.7650000000000001</v>
      </c>
    </row>
    <row r="101" spans="17:18" x14ac:dyDescent="0.25">
      <c r="Q101" s="7">
        <v>0.75</v>
      </c>
      <c r="R101" s="1">
        <f>_xlfn.QUARTILE.INC(R2:R95,3)</f>
        <v>6.5200000000000005</v>
      </c>
    </row>
    <row r="102" spans="17:18" x14ac:dyDescent="0.25">
      <c r="Q102" s="6" t="s">
        <v>132</v>
      </c>
      <c r="R102" s="1">
        <f>_xlfn.QUARTILE.INC(R2:R95,4)</f>
        <v>41.8</v>
      </c>
    </row>
    <row r="103" spans="17:18" x14ac:dyDescent="0.25">
      <c r="Q103" s="6" t="s">
        <v>133</v>
      </c>
      <c r="R103" s="5">
        <f>AVERAGE(R2:R95)</f>
        <v>5.1940425531914922</v>
      </c>
    </row>
  </sheetData>
  <phoneticPr fontId="2" type="noConversion"/>
  <conditionalFormatting sqref="E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SallyHenry</cp:lastModifiedBy>
  <dcterms:created xsi:type="dcterms:W3CDTF">2026-04-28T09:20:45Z</dcterms:created>
  <dcterms:modified xsi:type="dcterms:W3CDTF">2026-06-02T14:07:18Z</dcterms:modified>
</cp:coreProperties>
</file>